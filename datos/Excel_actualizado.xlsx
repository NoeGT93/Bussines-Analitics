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cep Xela2\Downloads\"/>
    </mc:Choice>
  </mc:AlternateContent>
  <xr:revisionPtr revIDLastSave="0" documentId="13_ncr:1_{3028D245-F04C-402F-B2F9-7C2F199ECAD4}" xr6:coauthVersionLast="47" xr6:coauthVersionMax="47" xr10:uidLastSave="{00000000-0000-0000-0000-000000000000}"/>
  <bookViews>
    <workbookView xWindow="-108" yWindow="-108" windowWidth="23256" windowHeight="12456" xr2:uid="{1353697D-9F0F-49C2-A0B1-301E53210D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1" i="1" l="1"/>
  <c r="H22" i="1" s="1"/>
  <c r="H20" i="1"/>
  <c r="H19" i="1"/>
  <c r="H18" i="1"/>
  <c r="H41" i="1"/>
  <c r="H42" i="1" s="1"/>
  <c r="H40" i="1"/>
  <c r="H39" i="1"/>
  <c r="H38" i="1"/>
  <c r="H61" i="1"/>
  <c r="H62" i="1" s="1"/>
  <c r="H60" i="1"/>
  <c r="H59" i="1"/>
  <c r="H58" i="1"/>
  <c r="H81" i="1"/>
  <c r="H82" i="1" s="1"/>
  <c r="H80" i="1"/>
  <c r="H79" i="1"/>
  <c r="H78" i="1"/>
  <c r="H101" i="1"/>
  <c r="H102" i="1" s="1"/>
  <c r="H100" i="1"/>
  <c r="H99" i="1"/>
  <c r="H98" i="1"/>
  <c r="B81" i="1"/>
  <c r="B82" i="1" s="1"/>
  <c r="B80" i="1"/>
  <c r="B79" i="1"/>
  <c r="B78" i="1"/>
  <c r="B61" i="1"/>
  <c r="B62" i="1" s="1"/>
  <c r="B60" i="1"/>
  <c r="B59" i="1"/>
  <c r="B58" i="1"/>
  <c r="B41" i="1"/>
  <c r="B42" i="1" s="1"/>
  <c r="B40" i="1"/>
  <c r="B39" i="1"/>
  <c r="B38" i="1"/>
  <c r="B21" i="1"/>
  <c r="B20" i="1"/>
  <c r="B18" i="1"/>
  <c r="H32" i="1"/>
  <c r="H52" i="1"/>
  <c r="H72" i="1"/>
  <c r="H92" i="1"/>
  <c r="B72" i="1"/>
  <c r="B52" i="1"/>
  <c r="B32" i="1"/>
  <c r="H12" i="1"/>
  <c r="B12" i="1"/>
  <c r="B22" i="1" l="1"/>
  <c r="K8" i="1"/>
  <c r="J92" i="1" l="1"/>
  <c r="K86" i="1" s="1"/>
  <c r="I92" i="1"/>
  <c r="K91" i="1"/>
  <c r="K90" i="1"/>
  <c r="K89" i="1"/>
  <c r="K88" i="1"/>
  <c r="J72" i="1"/>
  <c r="I72" i="1"/>
  <c r="K71" i="1"/>
  <c r="K70" i="1"/>
  <c r="K69" i="1"/>
  <c r="K68" i="1"/>
  <c r="J52" i="1"/>
  <c r="I52" i="1"/>
  <c r="K51" i="1"/>
  <c r="K50" i="1"/>
  <c r="K49" i="1"/>
  <c r="K48" i="1"/>
  <c r="J32" i="1"/>
  <c r="I32" i="1"/>
  <c r="K31" i="1"/>
  <c r="K30" i="1"/>
  <c r="K29" i="1"/>
  <c r="K28" i="1"/>
  <c r="J12" i="1"/>
  <c r="I12" i="1"/>
  <c r="K11" i="1"/>
  <c r="K10" i="1"/>
  <c r="K9" i="1"/>
  <c r="D72" i="1"/>
  <c r="C72" i="1"/>
  <c r="E71" i="1"/>
  <c r="E70" i="1"/>
  <c r="E69" i="1"/>
  <c r="E68" i="1"/>
  <c r="D52" i="1"/>
  <c r="C52" i="1"/>
  <c r="E51" i="1"/>
  <c r="E50" i="1"/>
  <c r="E49" i="1"/>
  <c r="E48" i="1"/>
  <c r="D32" i="1"/>
  <c r="C32" i="1"/>
  <c r="E31" i="1"/>
  <c r="E30" i="1"/>
  <c r="E29" i="1"/>
  <c r="E28" i="1"/>
  <c r="E9" i="1"/>
  <c r="E10" i="1"/>
  <c r="E11" i="1"/>
  <c r="E8" i="1"/>
  <c r="D12" i="1"/>
  <c r="B19" i="1" s="1"/>
  <c r="C12" i="1"/>
  <c r="K26" i="1" l="1"/>
  <c r="K6" i="1"/>
  <c r="E66" i="1"/>
  <c r="K92" i="1"/>
  <c r="K66" i="1"/>
  <c r="K72" i="1"/>
  <c r="K52" i="1"/>
  <c r="K46" i="1"/>
  <c r="K32" i="1"/>
  <c r="K12" i="1"/>
  <c r="E72" i="1"/>
  <c r="E46" i="1"/>
  <c r="E52" i="1"/>
  <c r="E26" i="1"/>
  <c r="E32" i="1"/>
  <c r="E12" i="1"/>
</calcChain>
</file>

<file path=xl/sharedStrings.xml><?xml version="1.0" encoding="utf-8"?>
<sst xmlns="http://schemas.openxmlformats.org/spreadsheetml/2006/main" count="208" uniqueCount="32">
  <si>
    <t>INVERSION</t>
  </si>
  <si>
    <t xml:space="preserve">VENTA </t>
  </si>
  <si>
    <t>MES</t>
  </si>
  <si>
    <t xml:space="preserve">ENERO </t>
  </si>
  <si>
    <t xml:space="preserve">INSTAGRAM </t>
  </si>
  <si>
    <t xml:space="preserve">FACEBOOK </t>
  </si>
  <si>
    <t xml:space="preserve">WHATSAP </t>
  </si>
  <si>
    <t xml:space="preserve">TIK TOK </t>
  </si>
  <si>
    <t>RECIBIDOS</t>
  </si>
  <si>
    <t xml:space="preserve">CERRADOS </t>
  </si>
  <si>
    <t xml:space="preserve">TOTAL </t>
  </si>
  <si>
    <t>%CERRADOS</t>
  </si>
  <si>
    <t xml:space="preserve">RED </t>
  </si>
  <si>
    <t xml:space="preserve">FEBRERO </t>
  </si>
  <si>
    <t xml:space="preserve">MARZO </t>
  </si>
  <si>
    <t xml:space="preserve">ABRIL </t>
  </si>
  <si>
    <t xml:space="preserve">MAYO </t>
  </si>
  <si>
    <t>JUNIO</t>
  </si>
  <si>
    <t xml:space="preserve">JULIO </t>
  </si>
  <si>
    <t xml:space="preserve">AGOSTO </t>
  </si>
  <si>
    <t xml:space="preserve">SEPTIEMBRE </t>
  </si>
  <si>
    <t>REPORTE DE VENTAS Y ESTRATEGIA COMERCIAL SPARTAN GYM</t>
  </si>
  <si>
    <t>ROI</t>
  </si>
  <si>
    <t xml:space="preserve">COSTO DE PRODUCTO </t>
  </si>
  <si>
    <t>INVERSIÓN POR RED</t>
  </si>
  <si>
    <t>COSTO DEL PRODUCTO * VENTAS CERRADAS</t>
  </si>
  <si>
    <t>ROI =</t>
  </si>
  <si>
    <t xml:space="preserve">INVERSION/TOTAL DE VENTA </t>
  </si>
  <si>
    <t xml:space="preserve">COSTO </t>
  </si>
  <si>
    <t>VENTAS CERRADAS</t>
  </si>
  <si>
    <t>TOTAL VENTA</t>
  </si>
  <si>
    <t xml:space="preserve">INVERSIÓN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</si>
</sst>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_-[$Q-100A]* #,##0.00_-;\-[$Q-100A]* #,##0.00_-;_-[$Q-100A]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9" fontId="0" fillId="0" borderId="1" xfId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2" fillId="0" borderId="0" xfId="0" applyFont="1"/>
    <xf numFmtId="2" fontId="2" fillId="0" borderId="0" xfId="0" applyNumberFormat="1" applyFont="1"/>
    <xf numFmtId="0" fontId="2" fillId="0" borderId="2" xfId="0" applyFont="1" applyBorder="1"/>
    <xf numFmtId="164" fontId="2" fillId="0" borderId="2" xfId="0" applyNumberFormat="1" applyFont="1" applyBorder="1"/>
    <xf numFmtId="16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44" fontId="0" fillId="0" borderId="1" xfId="2" applyFont="1" applyBorder="1"/>
    <xf numFmtId="0" fontId="0" fillId="0" borderId="0" xfId="0" applyBorder="1"/>
    <xf numFmtId="9" fontId="0" fillId="0" borderId="0" xfId="1" applyFont="1" applyBorder="1"/>
    <xf numFmtId="0" fontId="0" fillId="2" borderId="0" xfId="0" applyFill="1" applyBorder="1"/>
    <xf numFmtId="164" fontId="0" fillId="2" borderId="0" xfId="0" applyNumberFormat="1" applyFill="1" applyBorder="1"/>
    <xf numFmtId="2" fontId="0" fillId="2" borderId="0" xfId="0" applyNumberForma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10" fontId="0" fillId="2" borderId="7" xfId="0" applyNumberFormat="1" applyFill="1" applyBorder="1"/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/>
    <xf numFmtId="2" fontId="0" fillId="2" borderId="9" xfId="0" applyNumberFormat="1" applyFill="1" applyBorder="1"/>
    <xf numFmtId="0" fontId="0" fillId="2" borderId="10" xfId="0" applyFill="1" applyBorder="1"/>
    <xf numFmtId="44" fontId="0" fillId="0" borderId="0" xfId="2" applyFont="1" applyBorder="1"/>
    <xf numFmtId="0" fontId="0" fillId="2" borderId="0" xfId="0" applyNumberFormat="1" applyFill="1" applyBorder="1"/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290890</xdr:colOff>
      <xdr:row>13</xdr:row>
      <xdr:rowOff>32440</xdr:rowOff>
    </xdr:from>
    <xdr:to>
      <xdr:col>5</xdr:col>
      <xdr:colOff>510209</xdr:colOff>
      <xdr:row>18</xdr:row>
      <xdr:rowOff>156978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222B59-316A-4559-BA22-B89CA4A53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3047" y="2450962"/>
          <a:ext cx="2525197" cy="1052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0A02-43BD-450D-8D1F-150AB6C17EB0}">
  <dimension ref="A1:K102"/>
  <sheetViews>
    <sheetView tabSelected="1" topLeftCell="A81" zoomScale="115" zoomScaleNormal="115" workbookViewId="0">
      <selection activeCell="D100" sqref="D100"/>
    </sheetView>
  </sheetViews>
  <sheetFormatPr baseColWidth="10" defaultRowHeight="14.4" x14ac:dyDescent="0.3"/>
  <cols>
    <col min="1" max="1" width="14.44140625" bestFit="1" customWidth="1"/>
    <col min="2" max="2" width="20.21875" customWidth="1"/>
    <col min="3" max="3" width="23.6640625" customWidth="1"/>
    <col min="4" max="4" width="20" customWidth="1"/>
    <col min="5" max="5" width="13.6640625" customWidth="1"/>
    <col min="8" max="8" width="18.5546875" customWidth="1"/>
    <col min="9" max="9" width="20.77734375" customWidth="1"/>
    <col min="10" max="10" width="20.5546875" customWidth="1"/>
    <col min="11" max="11" width="12.77734375" customWidth="1"/>
  </cols>
  <sheetData>
    <row r="1" spans="1:11" x14ac:dyDescent="0.3">
      <c r="A1" s="11" t="s">
        <v>21</v>
      </c>
      <c r="B1" s="11"/>
      <c r="C1" s="11"/>
      <c r="D1" s="11"/>
      <c r="E1" s="11"/>
      <c r="F1" s="11"/>
      <c r="G1" s="11"/>
      <c r="H1" s="11"/>
      <c r="I1" s="11"/>
    </row>
    <row r="2" spans="1:11" x14ac:dyDescent="0.3">
      <c r="A2" s="11"/>
      <c r="B2" s="11"/>
      <c r="C2" s="11"/>
      <c r="D2" s="11"/>
      <c r="E2" s="11"/>
      <c r="F2" s="11"/>
      <c r="G2" s="11"/>
      <c r="H2" s="11"/>
      <c r="I2" s="11"/>
    </row>
    <row r="4" spans="1:11" x14ac:dyDescent="0.3">
      <c r="A4" s="3" t="s">
        <v>2</v>
      </c>
      <c r="B4" s="3"/>
      <c r="C4" s="3" t="s">
        <v>3</v>
      </c>
      <c r="D4" s="6"/>
      <c r="E4" s="6"/>
      <c r="G4" s="3" t="s">
        <v>2</v>
      </c>
      <c r="H4" s="3"/>
      <c r="I4" s="3" t="s">
        <v>16</v>
      </c>
      <c r="J4" s="6"/>
      <c r="K4" s="6"/>
    </row>
    <row r="5" spans="1:11" x14ac:dyDescent="0.3">
      <c r="A5" s="8" t="s">
        <v>0</v>
      </c>
      <c r="B5" s="8"/>
      <c r="C5" s="9">
        <v>50000</v>
      </c>
      <c r="D5" s="6"/>
      <c r="E5" s="7"/>
      <c r="G5" s="8" t="s">
        <v>0</v>
      </c>
      <c r="H5" s="8"/>
      <c r="I5" s="9">
        <v>50000</v>
      </c>
      <c r="J5" s="6"/>
      <c r="K5" s="7"/>
    </row>
    <row r="6" spans="1:11" x14ac:dyDescent="0.3">
      <c r="A6" s="3" t="s">
        <v>1</v>
      </c>
      <c r="B6" s="3"/>
      <c r="C6" s="5">
        <v>502500</v>
      </c>
      <c r="D6" s="3" t="s">
        <v>23</v>
      </c>
      <c r="E6" s="5">
        <v>1532.01</v>
      </c>
      <c r="G6" s="3" t="s">
        <v>1</v>
      </c>
      <c r="H6" s="3"/>
      <c r="I6" s="5">
        <v>294275</v>
      </c>
      <c r="J6" s="3" t="s">
        <v>23</v>
      </c>
      <c r="K6" s="5">
        <f>I6/J12</f>
        <v>1456.8069306930693</v>
      </c>
    </row>
    <row r="7" spans="1:11" x14ac:dyDescent="0.3">
      <c r="A7" s="4" t="s">
        <v>12</v>
      </c>
      <c r="B7" s="4" t="s">
        <v>24</v>
      </c>
      <c r="C7" s="4" t="s">
        <v>8</v>
      </c>
      <c r="D7" s="4" t="s">
        <v>9</v>
      </c>
      <c r="E7" s="4" t="s">
        <v>11</v>
      </c>
      <c r="G7" s="4" t="s">
        <v>12</v>
      </c>
      <c r="H7" s="4" t="s">
        <v>24</v>
      </c>
      <c r="I7" s="4" t="s">
        <v>8</v>
      </c>
      <c r="J7" s="4" t="s">
        <v>9</v>
      </c>
      <c r="K7" s="4" t="s">
        <v>11</v>
      </c>
    </row>
    <row r="8" spans="1:11" x14ac:dyDescent="0.3">
      <c r="A8" s="1" t="s">
        <v>4</v>
      </c>
      <c r="B8" s="13">
        <v>10000</v>
      </c>
      <c r="C8" s="1">
        <v>635</v>
      </c>
      <c r="D8" s="1">
        <v>95</v>
      </c>
      <c r="E8" s="2">
        <f>D8/C8</f>
        <v>0.14960629921259844</v>
      </c>
      <c r="G8" s="1" t="s">
        <v>4</v>
      </c>
      <c r="H8" s="13">
        <v>10000</v>
      </c>
      <c r="I8" s="1">
        <v>567</v>
      </c>
      <c r="J8" s="1">
        <v>72</v>
      </c>
      <c r="K8" s="2">
        <f>J8/I8</f>
        <v>0.12698412698412698</v>
      </c>
    </row>
    <row r="9" spans="1:11" x14ac:dyDescent="0.3">
      <c r="A9" s="1" t="s">
        <v>5</v>
      </c>
      <c r="B9" s="13">
        <v>20000</v>
      </c>
      <c r="C9" s="1">
        <v>605</v>
      </c>
      <c r="D9" s="1">
        <v>90</v>
      </c>
      <c r="E9" s="2">
        <f t="shared" ref="E9:E12" si="0">D9/C9</f>
        <v>0.1487603305785124</v>
      </c>
      <c r="G9" s="1" t="s">
        <v>5</v>
      </c>
      <c r="H9" s="13">
        <v>20000</v>
      </c>
      <c r="I9" s="1">
        <v>500</v>
      </c>
      <c r="J9" s="1">
        <v>78</v>
      </c>
      <c r="K9" s="2">
        <f t="shared" ref="K9:K12" si="1">J9/I9</f>
        <v>0.156</v>
      </c>
    </row>
    <row r="10" spans="1:11" x14ac:dyDescent="0.3">
      <c r="A10" s="1" t="s">
        <v>6</v>
      </c>
      <c r="B10" s="13">
        <v>10000</v>
      </c>
      <c r="C10" s="1">
        <v>595</v>
      </c>
      <c r="D10" s="1">
        <v>135</v>
      </c>
      <c r="E10" s="2">
        <f t="shared" si="0"/>
        <v>0.22689075630252101</v>
      </c>
      <c r="G10" s="1" t="s">
        <v>6</v>
      </c>
      <c r="H10" s="13">
        <v>10000</v>
      </c>
      <c r="I10" s="1">
        <v>118</v>
      </c>
      <c r="J10" s="1">
        <v>49</v>
      </c>
      <c r="K10" s="2">
        <f t="shared" si="1"/>
        <v>0.4152542372881356</v>
      </c>
    </row>
    <row r="11" spans="1:11" x14ac:dyDescent="0.3">
      <c r="A11" s="1" t="s">
        <v>7</v>
      </c>
      <c r="B11" s="13">
        <v>10000</v>
      </c>
      <c r="C11" s="1">
        <v>78</v>
      </c>
      <c r="D11" s="1">
        <v>8</v>
      </c>
      <c r="E11" s="2">
        <f t="shared" si="0"/>
        <v>0.10256410256410256</v>
      </c>
      <c r="G11" s="1" t="s">
        <v>7</v>
      </c>
      <c r="H11" s="13">
        <v>10000</v>
      </c>
      <c r="I11" s="1">
        <v>49</v>
      </c>
      <c r="J11" s="1">
        <v>3</v>
      </c>
      <c r="K11" s="2">
        <f t="shared" si="1"/>
        <v>6.1224489795918366E-2</v>
      </c>
    </row>
    <row r="12" spans="1:11" x14ac:dyDescent="0.3">
      <c r="A12" s="1" t="s">
        <v>10</v>
      </c>
      <c r="B12" s="13">
        <f>SUM(B8:B11)</f>
        <v>50000</v>
      </c>
      <c r="C12" s="1">
        <f>SUM(C8:C11)</f>
        <v>1913</v>
      </c>
      <c r="D12" s="1">
        <f>SUM(D8:D11)</f>
        <v>328</v>
      </c>
      <c r="E12" s="2">
        <f t="shared" si="0"/>
        <v>0.17145844223732357</v>
      </c>
      <c r="G12" s="1" t="s">
        <v>10</v>
      </c>
      <c r="H12" s="13">
        <f>SUM(H8:H11)</f>
        <v>50000</v>
      </c>
      <c r="I12" s="1">
        <f>SUM(I8:I11)</f>
        <v>1234</v>
      </c>
      <c r="J12" s="1">
        <f>SUM(J8:J11)</f>
        <v>202</v>
      </c>
      <c r="K12" s="2">
        <f t="shared" si="1"/>
        <v>0.16369529983792544</v>
      </c>
    </row>
    <row r="13" spans="1:11" ht="15" thickBot="1" x14ac:dyDescent="0.35">
      <c r="A13" s="14"/>
      <c r="B13" s="14"/>
      <c r="C13" s="14"/>
      <c r="D13" s="10"/>
    </row>
    <row r="14" spans="1:11" x14ac:dyDescent="0.3">
      <c r="A14" s="19"/>
      <c r="B14" s="20"/>
      <c r="C14" s="21"/>
      <c r="D14" s="10"/>
      <c r="G14" s="19"/>
      <c r="H14" s="20"/>
      <c r="I14" s="21"/>
    </row>
    <row r="15" spans="1:11" x14ac:dyDescent="0.3">
      <c r="A15" s="22" t="s">
        <v>26</v>
      </c>
      <c r="B15" s="17" t="s">
        <v>25</v>
      </c>
      <c r="C15" s="23"/>
      <c r="D15" s="10"/>
      <c r="G15" s="22" t="s">
        <v>26</v>
      </c>
      <c r="H15" s="17" t="s">
        <v>25</v>
      </c>
      <c r="I15" s="23"/>
    </row>
    <row r="16" spans="1:11" x14ac:dyDescent="0.3">
      <c r="A16" s="22"/>
      <c r="B16" s="17" t="s">
        <v>27</v>
      </c>
      <c r="C16" s="24"/>
      <c r="D16" s="10"/>
      <c r="G16" s="22"/>
      <c r="H16" s="17" t="s">
        <v>27</v>
      </c>
      <c r="I16" s="24"/>
    </row>
    <row r="17" spans="1:11" x14ac:dyDescent="0.3">
      <c r="A17" s="22"/>
      <c r="B17" s="17"/>
      <c r="C17" s="24"/>
      <c r="D17" s="10"/>
      <c r="G17" s="22"/>
      <c r="H17" s="17"/>
      <c r="I17" s="24"/>
    </row>
    <row r="18" spans="1:11" x14ac:dyDescent="0.3">
      <c r="A18" s="22" t="s">
        <v>28</v>
      </c>
      <c r="B18" s="17">
        <f>E6</f>
        <v>1532.01</v>
      </c>
      <c r="C18" s="24"/>
      <c r="D18" s="10"/>
      <c r="E18" s="10"/>
      <c r="F18" s="12"/>
      <c r="G18" s="22" t="s">
        <v>28</v>
      </c>
      <c r="H18" s="17">
        <f>K6</f>
        <v>1456.8069306930693</v>
      </c>
      <c r="I18" s="24"/>
    </row>
    <row r="19" spans="1:11" x14ac:dyDescent="0.3">
      <c r="A19" s="22" t="s">
        <v>29</v>
      </c>
      <c r="B19" s="30">
        <f>D12</f>
        <v>328</v>
      </c>
      <c r="C19" s="24"/>
      <c r="D19" s="10"/>
      <c r="E19" s="10"/>
      <c r="F19" s="12"/>
      <c r="G19" s="22" t="s">
        <v>29</v>
      </c>
      <c r="H19" s="30">
        <f>J12</f>
        <v>202</v>
      </c>
      <c r="I19" s="24"/>
    </row>
    <row r="20" spans="1:11" x14ac:dyDescent="0.3">
      <c r="A20" s="22" t="s">
        <v>30</v>
      </c>
      <c r="B20" s="17">
        <f>C6</f>
        <v>502500</v>
      </c>
      <c r="C20" s="25"/>
      <c r="D20" s="10"/>
      <c r="E20" s="10"/>
      <c r="G20" s="22" t="s">
        <v>30</v>
      </c>
      <c r="H20" s="17">
        <f>I6</f>
        <v>294275</v>
      </c>
      <c r="I20" s="25"/>
    </row>
    <row r="21" spans="1:11" x14ac:dyDescent="0.3">
      <c r="A21" s="22" t="s">
        <v>31</v>
      </c>
      <c r="B21" s="17">
        <f>C5</f>
        <v>50000</v>
      </c>
      <c r="C21" s="24"/>
      <c r="D21" s="10"/>
      <c r="E21" s="10"/>
      <c r="G21" s="22" t="s">
        <v>31</v>
      </c>
      <c r="H21" s="17">
        <f>I5</f>
        <v>50000</v>
      </c>
      <c r="I21" s="24"/>
    </row>
    <row r="22" spans="1:11" ht="15" thickBot="1" x14ac:dyDescent="0.35">
      <c r="A22" s="26" t="s">
        <v>22</v>
      </c>
      <c r="B22" s="27">
        <f>(B21/B20)*100</f>
        <v>9.9502487562189064</v>
      </c>
      <c r="C22" s="28"/>
      <c r="D22" s="10"/>
      <c r="G22" s="26" t="s">
        <v>22</v>
      </c>
      <c r="H22" s="27">
        <f>(H21/H20)*100</f>
        <v>16.990909863223173</v>
      </c>
      <c r="I22" s="28"/>
    </row>
    <row r="23" spans="1:11" x14ac:dyDescent="0.3">
      <c r="A23" s="16"/>
      <c r="B23" s="18"/>
      <c r="C23" s="16"/>
      <c r="D23" s="10"/>
    </row>
    <row r="24" spans="1:11" x14ac:dyDescent="0.3">
      <c r="A24" s="3" t="s">
        <v>2</v>
      </c>
      <c r="B24" s="3"/>
      <c r="C24" s="3" t="s">
        <v>13</v>
      </c>
      <c r="D24" s="6"/>
      <c r="E24" s="6"/>
      <c r="G24" s="3" t="s">
        <v>2</v>
      </c>
      <c r="H24" s="3"/>
      <c r="I24" s="3" t="s">
        <v>17</v>
      </c>
      <c r="J24" s="6"/>
      <c r="K24" s="6"/>
    </row>
    <row r="25" spans="1:11" x14ac:dyDescent="0.3">
      <c r="A25" s="3" t="s">
        <v>0</v>
      </c>
      <c r="B25" s="3"/>
      <c r="C25" s="5">
        <v>50000</v>
      </c>
      <c r="D25" s="6"/>
      <c r="E25" s="7"/>
      <c r="G25" s="8" t="s">
        <v>0</v>
      </c>
      <c r="H25" s="8"/>
      <c r="I25" s="9">
        <v>50000</v>
      </c>
      <c r="J25" s="6"/>
      <c r="K25" s="7"/>
    </row>
    <row r="26" spans="1:11" x14ac:dyDescent="0.3">
      <c r="A26" s="3" t="s">
        <v>1</v>
      </c>
      <c r="B26" s="3"/>
      <c r="C26" s="5">
        <v>463275</v>
      </c>
      <c r="D26" s="3" t="s">
        <v>23</v>
      </c>
      <c r="E26" s="5">
        <f>C26/D32</f>
        <v>1619.8426573426573</v>
      </c>
      <c r="G26" s="3" t="s">
        <v>1</v>
      </c>
      <c r="H26" s="3"/>
      <c r="I26" s="5">
        <v>355350</v>
      </c>
      <c r="J26" s="3" t="s">
        <v>23</v>
      </c>
      <c r="K26" s="5">
        <f>I26/J32</f>
        <v>1456.3524590163934</v>
      </c>
    </row>
    <row r="27" spans="1:11" x14ac:dyDescent="0.3">
      <c r="A27" s="4" t="s">
        <v>12</v>
      </c>
      <c r="B27" s="4" t="s">
        <v>24</v>
      </c>
      <c r="C27" s="4" t="s">
        <v>8</v>
      </c>
      <c r="D27" s="4" t="s">
        <v>9</v>
      </c>
      <c r="E27" s="4" t="s">
        <v>11</v>
      </c>
      <c r="G27" s="4" t="s">
        <v>12</v>
      </c>
      <c r="H27" s="4" t="s">
        <v>24</v>
      </c>
      <c r="I27" s="4" t="s">
        <v>8</v>
      </c>
      <c r="J27" s="4" t="s">
        <v>9</v>
      </c>
      <c r="K27" s="4" t="s">
        <v>11</v>
      </c>
    </row>
    <row r="28" spans="1:11" x14ac:dyDescent="0.3">
      <c r="A28" s="1" t="s">
        <v>4</v>
      </c>
      <c r="B28" s="13">
        <v>10000</v>
      </c>
      <c r="C28" s="1">
        <v>608</v>
      </c>
      <c r="D28" s="1">
        <v>78</v>
      </c>
      <c r="E28" s="2">
        <f>D28/C28</f>
        <v>0.12828947368421054</v>
      </c>
      <c r="G28" s="1" t="s">
        <v>4</v>
      </c>
      <c r="H28" s="13">
        <v>10000</v>
      </c>
      <c r="I28" s="1">
        <v>710</v>
      </c>
      <c r="J28" s="1">
        <v>89</v>
      </c>
      <c r="K28" s="2">
        <f>J28/I28</f>
        <v>0.12535211267605634</v>
      </c>
    </row>
    <row r="29" spans="1:11" x14ac:dyDescent="0.3">
      <c r="A29" s="1" t="s">
        <v>5</v>
      </c>
      <c r="B29" s="13">
        <v>20000</v>
      </c>
      <c r="C29" s="1">
        <v>375</v>
      </c>
      <c r="D29" s="1">
        <v>99</v>
      </c>
      <c r="E29" s="2">
        <f t="shared" ref="E29:E32" si="2">D29/C29</f>
        <v>0.26400000000000001</v>
      </c>
      <c r="G29" s="1" t="s">
        <v>5</v>
      </c>
      <c r="H29" s="13">
        <v>20000</v>
      </c>
      <c r="I29" s="1">
        <v>415</v>
      </c>
      <c r="J29" s="1">
        <v>93</v>
      </c>
      <c r="K29" s="2">
        <f t="shared" ref="K29:K32" si="3">J29/I29</f>
        <v>0.22409638554216868</v>
      </c>
    </row>
    <row r="30" spans="1:11" x14ac:dyDescent="0.3">
      <c r="A30" s="1" t="s">
        <v>6</v>
      </c>
      <c r="B30" s="13">
        <v>10000</v>
      </c>
      <c r="C30" s="1">
        <v>397</v>
      </c>
      <c r="D30" s="1">
        <v>102</v>
      </c>
      <c r="E30" s="2">
        <f t="shared" si="2"/>
        <v>0.25692695214105793</v>
      </c>
      <c r="G30" s="1" t="s">
        <v>6</v>
      </c>
      <c r="H30" s="13">
        <v>10000</v>
      </c>
      <c r="I30" s="1">
        <v>144</v>
      </c>
      <c r="J30" s="1">
        <v>61</v>
      </c>
      <c r="K30" s="2">
        <f t="shared" si="3"/>
        <v>0.4236111111111111</v>
      </c>
    </row>
    <row r="31" spans="1:11" x14ac:dyDescent="0.3">
      <c r="A31" s="1" t="s">
        <v>7</v>
      </c>
      <c r="B31" s="13">
        <v>10000</v>
      </c>
      <c r="C31" s="1">
        <v>55</v>
      </c>
      <c r="D31" s="1">
        <v>7</v>
      </c>
      <c r="E31" s="2">
        <f t="shared" si="2"/>
        <v>0.12727272727272726</v>
      </c>
      <c r="G31" s="1" t="s">
        <v>7</v>
      </c>
      <c r="H31" s="13">
        <v>10000</v>
      </c>
      <c r="I31" s="1">
        <v>37</v>
      </c>
      <c r="J31" s="1">
        <v>1</v>
      </c>
      <c r="K31" s="2">
        <f t="shared" si="3"/>
        <v>2.7027027027027029E-2</v>
      </c>
    </row>
    <row r="32" spans="1:11" x14ac:dyDescent="0.3">
      <c r="A32" s="1" t="s">
        <v>10</v>
      </c>
      <c r="B32" s="13">
        <f>SUM(B28:B31)</f>
        <v>50000</v>
      </c>
      <c r="C32" s="1">
        <f>SUM(C28:C31)</f>
        <v>1435</v>
      </c>
      <c r="D32" s="1">
        <f>SUM(D28:D31)</f>
        <v>286</v>
      </c>
      <c r="E32" s="2">
        <f t="shared" si="2"/>
        <v>0.19930313588850174</v>
      </c>
      <c r="G32" s="1" t="s">
        <v>10</v>
      </c>
      <c r="H32" s="13">
        <f>SUM(H28:H31)</f>
        <v>50000</v>
      </c>
      <c r="I32" s="1">
        <f>SUM(I28:I31)</f>
        <v>1306</v>
      </c>
      <c r="J32" s="1">
        <f>SUM(J28:J31)</f>
        <v>244</v>
      </c>
      <c r="K32" s="2">
        <f t="shared" si="3"/>
        <v>0.18683001531393567</v>
      </c>
    </row>
    <row r="33" spans="1:11" ht="15" thickBot="1" x14ac:dyDescent="0.35">
      <c r="A33" s="14"/>
      <c r="B33" s="29"/>
      <c r="C33" s="14"/>
      <c r="D33" s="14"/>
      <c r="E33" s="15"/>
      <c r="G33" s="14"/>
      <c r="H33" s="29"/>
      <c r="I33" s="14"/>
      <c r="J33" s="14"/>
      <c r="K33" s="15"/>
    </row>
    <row r="34" spans="1:11" x14ac:dyDescent="0.3">
      <c r="A34" s="19"/>
      <c r="B34" s="20"/>
      <c r="C34" s="21"/>
      <c r="D34" s="14"/>
      <c r="E34" s="15"/>
      <c r="G34" s="19"/>
      <c r="H34" s="20"/>
      <c r="I34" s="21"/>
      <c r="J34" s="14"/>
      <c r="K34" s="15"/>
    </row>
    <row r="35" spans="1:11" x14ac:dyDescent="0.3">
      <c r="A35" s="22" t="s">
        <v>26</v>
      </c>
      <c r="B35" s="17" t="s">
        <v>25</v>
      </c>
      <c r="C35" s="23"/>
      <c r="D35" s="14"/>
      <c r="E35" s="15"/>
      <c r="G35" s="22" t="s">
        <v>26</v>
      </c>
      <c r="H35" s="17" t="s">
        <v>25</v>
      </c>
      <c r="I35" s="23"/>
      <c r="J35" s="14"/>
      <c r="K35" s="15"/>
    </row>
    <row r="36" spans="1:11" x14ac:dyDescent="0.3">
      <c r="A36" s="22"/>
      <c r="B36" s="17" t="s">
        <v>27</v>
      </c>
      <c r="C36" s="24"/>
      <c r="D36" s="14"/>
      <c r="E36" s="15"/>
      <c r="G36" s="22"/>
      <c r="H36" s="17" t="s">
        <v>27</v>
      </c>
      <c r="I36" s="24"/>
      <c r="J36" s="14"/>
      <c r="K36" s="15"/>
    </row>
    <row r="37" spans="1:11" x14ac:dyDescent="0.3">
      <c r="A37" s="22"/>
      <c r="B37" s="17"/>
      <c r="C37" s="24"/>
      <c r="D37" s="14"/>
      <c r="E37" s="15"/>
      <c r="G37" s="22"/>
      <c r="H37" s="17"/>
      <c r="I37" s="24"/>
      <c r="J37" s="14"/>
      <c r="K37" s="15"/>
    </row>
    <row r="38" spans="1:11" x14ac:dyDescent="0.3">
      <c r="A38" s="22" t="s">
        <v>28</v>
      </c>
      <c r="B38" s="17">
        <f>E26</f>
        <v>1619.8426573426573</v>
      </c>
      <c r="C38" s="24"/>
      <c r="D38" s="14"/>
      <c r="E38" s="15"/>
      <c r="G38" s="22" t="s">
        <v>28</v>
      </c>
      <c r="H38" s="17">
        <f>K26</f>
        <v>1456.3524590163934</v>
      </c>
      <c r="I38" s="24"/>
      <c r="J38" s="14"/>
      <c r="K38" s="15"/>
    </row>
    <row r="39" spans="1:11" x14ac:dyDescent="0.3">
      <c r="A39" s="22" t="s">
        <v>29</v>
      </c>
      <c r="B39" s="30">
        <f>D32</f>
        <v>286</v>
      </c>
      <c r="C39" s="24"/>
      <c r="D39" s="14"/>
      <c r="E39" s="15"/>
      <c r="G39" s="22" t="s">
        <v>29</v>
      </c>
      <c r="H39" s="30">
        <f>J32</f>
        <v>244</v>
      </c>
      <c r="I39" s="24"/>
      <c r="J39" s="14"/>
      <c r="K39" s="15"/>
    </row>
    <row r="40" spans="1:11" x14ac:dyDescent="0.3">
      <c r="A40" s="22" t="s">
        <v>30</v>
      </c>
      <c r="B40" s="17">
        <f>C26</f>
        <v>463275</v>
      </c>
      <c r="C40" s="25"/>
      <c r="D40" s="14"/>
      <c r="E40" s="15"/>
      <c r="G40" s="22" t="s">
        <v>30</v>
      </c>
      <c r="H40" s="17">
        <f>I26</f>
        <v>355350</v>
      </c>
      <c r="I40" s="25"/>
      <c r="J40" s="14"/>
      <c r="K40" s="15"/>
    </row>
    <row r="41" spans="1:11" x14ac:dyDescent="0.3">
      <c r="A41" s="22" t="s">
        <v>31</v>
      </c>
      <c r="B41" s="17">
        <f>C25</f>
        <v>50000</v>
      </c>
      <c r="C41" s="24"/>
      <c r="D41" s="14"/>
      <c r="E41" s="15"/>
      <c r="G41" s="22" t="s">
        <v>31</v>
      </c>
      <c r="H41" s="17">
        <f>I25</f>
        <v>50000</v>
      </c>
      <c r="I41" s="24"/>
      <c r="J41" s="14"/>
      <c r="K41" s="15"/>
    </row>
    <row r="42" spans="1:11" ht="15" thickBot="1" x14ac:dyDescent="0.35">
      <c r="A42" s="26" t="s">
        <v>22</v>
      </c>
      <c r="B42" s="27">
        <f>(B41/B40)*100</f>
        <v>10.792725702876261</v>
      </c>
      <c r="C42" s="28"/>
      <c r="D42" s="14"/>
      <c r="E42" s="15"/>
      <c r="G42" s="26" t="s">
        <v>22</v>
      </c>
      <c r="H42" s="27">
        <f>(H41/H40)*100</f>
        <v>14.070634585619812</v>
      </c>
      <c r="I42" s="28"/>
      <c r="J42" s="14"/>
      <c r="K42" s="15"/>
    </row>
    <row r="44" spans="1:11" x14ac:dyDescent="0.3">
      <c r="A44" s="3" t="s">
        <v>2</v>
      </c>
      <c r="B44" s="3"/>
      <c r="C44" s="3" t="s">
        <v>14</v>
      </c>
      <c r="D44" s="6"/>
      <c r="E44" s="6"/>
      <c r="G44" s="3" t="s">
        <v>2</v>
      </c>
      <c r="H44" s="3"/>
      <c r="I44" s="3" t="s">
        <v>18</v>
      </c>
      <c r="J44" s="6"/>
      <c r="K44" s="6"/>
    </row>
    <row r="45" spans="1:11" x14ac:dyDescent="0.3">
      <c r="A45" s="8" t="s">
        <v>0</v>
      </c>
      <c r="B45" s="8"/>
      <c r="C45" s="9">
        <v>50000</v>
      </c>
      <c r="D45" s="6"/>
      <c r="E45" s="7"/>
      <c r="G45" s="8" t="s">
        <v>0</v>
      </c>
      <c r="H45" s="8"/>
      <c r="I45" s="9">
        <v>50000</v>
      </c>
      <c r="J45" s="6"/>
      <c r="K45" s="7"/>
    </row>
    <row r="46" spans="1:11" x14ac:dyDescent="0.3">
      <c r="A46" s="3" t="s">
        <v>1</v>
      </c>
      <c r="B46" s="3"/>
      <c r="C46" s="5">
        <v>403200</v>
      </c>
      <c r="D46" s="3" t="s">
        <v>23</v>
      </c>
      <c r="E46" s="5">
        <f>C46/D52</f>
        <v>1460.8695652173913</v>
      </c>
      <c r="G46" s="3" t="s">
        <v>1</v>
      </c>
      <c r="H46" s="3"/>
      <c r="I46" s="5">
        <v>647150</v>
      </c>
      <c r="J46" s="3" t="s">
        <v>23</v>
      </c>
      <c r="K46" s="5">
        <f>I46/J52</f>
        <v>1914.6449704142012</v>
      </c>
    </row>
    <row r="47" spans="1:11" x14ac:dyDescent="0.3">
      <c r="A47" s="4" t="s">
        <v>12</v>
      </c>
      <c r="B47" s="4" t="s">
        <v>24</v>
      </c>
      <c r="C47" s="4" t="s">
        <v>8</v>
      </c>
      <c r="D47" s="4" t="s">
        <v>9</v>
      </c>
      <c r="E47" s="4" t="s">
        <v>11</v>
      </c>
      <c r="G47" s="4" t="s">
        <v>12</v>
      </c>
      <c r="H47" s="4" t="s">
        <v>24</v>
      </c>
      <c r="I47" s="4" t="s">
        <v>8</v>
      </c>
      <c r="J47" s="4" t="s">
        <v>9</v>
      </c>
      <c r="K47" s="4" t="s">
        <v>11</v>
      </c>
    </row>
    <row r="48" spans="1:11" x14ac:dyDescent="0.3">
      <c r="A48" s="1" t="s">
        <v>4</v>
      </c>
      <c r="B48" s="13">
        <v>10000</v>
      </c>
      <c r="C48" s="1">
        <v>588</v>
      </c>
      <c r="D48" s="1">
        <v>87</v>
      </c>
      <c r="E48" s="2">
        <f>D48/C48</f>
        <v>0.14795918367346939</v>
      </c>
      <c r="G48" s="1" t="s">
        <v>4</v>
      </c>
      <c r="H48" s="13">
        <v>10000</v>
      </c>
      <c r="I48" s="1">
        <v>799</v>
      </c>
      <c r="J48" s="1">
        <v>105</v>
      </c>
      <c r="K48" s="2">
        <f>J48/I48</f>
        <v>0.13141426783479349</v>
      </c>
    </row>
    <row r="49" spans="1:11" x14ac:dyDescent="0.3">
      <c r="A49" s="1" t="s">
        <v>5</v>
      </c>
      <c r="B49" s="13">
        <v>20000</v>
      </c>
      <c r="C49" s="1">
        <v>581</v>
      </c>
      <c r="D49" s="1">
        <v>88</v>
      </c>
      <c r="E49" s="2">
        <f>D49/C49</f>
        <v>0.15146299483648881</v>
      </c>
      <c r="G49" s="1" t="s">
        <v>5</v>
      </c>
      <c r="H49" s="13">
        <v>20000</v>
      </c>
      <c r="I49" s="1">
        <v>492</v>
      </c>
      <c r="J49" s="1">
        <v>117</v>
      </c>
      <c r="K49" s="2">
        <f t="shared" ref="K49:K52" si="4">J49/I49</f>
        <v>0.23780487804878048</v>
      </c>
    </row>
    <row r="50" spans="1:11" x14ac:dyDescent="0.3">
      <c r="A50" s="1" t="s">
        <v>6</v>
      </c>
      <c r="B50" s="13">
        <v>10000</v>
      </c>
      <c r="C50" s="1">
        <v>388</v>
      </c>
      <c r="D50" s="1">
        <v>92</v>
      </c>
      <c r="E50" s="2">
        <f>D50/C50</f>
        <v>0.23711340206185566</v>
      </c>
      <c r="G50" s="1" t="s">
        <v>6</v>
      </c>
      <c r="H50" s="13">
        <v>10000</v>
      </c>
      <c r="I50" s="1">
        <v>382</v>
      </c>
      <c r="J50" s="1">
        <v>99</v>
      </c>
      <c r="K50" s="2">
        <f t="shared" si="4"/>
        <v>0.25916230366492149</v>
      </c>
    </row>
    <row r="51" spans="1:11" x14ac:dyDescent="0.3">
      <c r="A51" s="1" t="s">
        <v>7</v>
      </c>
      <c r="B51" s="13">
        <v>10000</v>
      </c>
      <c r="C51" s="1">
        <v>47</v>
      </c>
      <c r="D51" s="1">
        <v>9</v>
      </c>
      <c r="E51" s="2">
        <f>D51/C51</f>
        <v>0.19148936170212766</v>
      </c>
      <c r="G51" s="1" t="s">
        <v>7</v>
      </c>
      <c r="H51" s="13">
        <v>10000</v>
      </c>
      <c r="I51" s="1">
        <v>69</v>
      </c>
      <c r="J51" s="1">
        <v>17</v>
      </c>
      <c r="K51" s="2">
        <f t="shared" si="4"/>
        <v>0.24637681159420291</v>
      </c>
    </row>
    <row r="52" spans="1:11" x14ac:dyDescent="0.3">
      <c r="A52" s="1" t="s">
        <v>10</v>
      </c>
      <c r="B52" s="13">
        <f>SUM(B48:B51)</f>
        <v>50000</v>
      </c>
      <c r="C52" s="1">
        <f>SUM(C48:C51)</f>
        <v>1604</v>
      </c>
      <c r="D52" s="1">
        <f>SUM(D48:D51)</f>
        <v>276</v>
      </c>
      <c r="E52" s="2">
        <f>D52/C52</f>
        <v>0.17206982543640897</v>
      </c>
      <c r="G52" s="1" t="s">
        <v>10</v>
      </c>
      <c r="H52" s="13">
        <f>SUM(H48:H51)</f>
        <v>50000</v>
      </c>
      <c r="I52" s="1">
        <f>SUM(I48:I51)</f>
        <v>1742</v>
      </c>
      <c r="J52" s="1">
        <f>SUM(J48:J51)</f>
        <v>338</v>
      </c>
      <c r="K52" s="2">
        <f t="shared" si="4"/>
        <v>0.19402985074626866</v>
      </c>
    </row>
    <row r="53" spans="1:11" ht="15" thickBot="1" x14ac:dyDescent="0.35">
      <c r="A53" s="14"/>
      <c r="B53" s="29"/>
      <c r="C53" s="14"/>
      <c r="D53" s="14"/>
      <c r="E53" s="15"/>
      <c r="G53" s="14"/>
      <c r="H53" s="29"/>
      <c r="I53" s="14"/>
      <c r="J53" s="14"/>
      <c r="K53" s="15"/>
    </row>
    <row r="54" spans="1:11" x14ac:dyDescent="0.3">
      <c r="A54" s="19"/>
      <c r="B54" s="20"/>
      <c r="C54" s="21"/>
      <c r="D54" s="14"/>
      <c r="E54" s="15"/>
      <c r="G54" s="19"/>
      <c r="H54" s="20"/>
      <c r="I54" s="21"/>
      <c r="J54" s="14"/>
      <c r="K54" s="15"/>
    </row>
    <row r="55" spans="1:11" x14ac:dyDescent="0.3">
      <c r="A55" s="22" t="s">
        <v>26</v>
      </c>
      <c r="B55" s="17" t="s">
        <v>25</v>
      </c>
      <c r="C55" s="23"/>
      <c r="D55" s="14"/>
      <c r="E55" s="15"/>
      <c r="G55" s="22" t="s">
        <v>26</v>
      </c>
      <c r="H55" s="17" t="s">
        <v>25</v>
      </c>
      <c r="I55" s="23"/>
      <c r="J55" s="14"/>
      <c r="K55" s="15"/>
    </row>
    <row r="56" spans="1:11" x14ac:dyDescent="0.3">
      <c r="A56" s="22"/>
      <c r="B56" s="17" t="s">
        <v>27</v>
      </c>
      <c r="C56" s="24"/>
      <c r="D56" s="14"/>
      <c r="E56" s="15"/>
      <c r="G56" s="22"/>
      <c r="H56" s="17" t="s">
        <v>27</v>
      </c>
      <c r="I56" s="24"/>
      <c r="J56" s="14"/>
      <c r="K56" s="15"/>
    </row>
    <row r="57" spans="1:11" x14ac:dyDescent="0.3">
      <c r="A57" s="22"/>
      <c r="B57" s="17"/>
      <c r="C57" s="24"/>
      <c r="D57" s="14"/>
      <c r="E57" s="15"/>
      <c r="G57" s="22"/>
      <c r="H57" s="17"/>
      <c r="I57" s="24"/>
      <c r="J57" s="14"/>
      <c r="K57" s="15"/>
    </row>
    <row r="58" spans="1:11" x14ac:dyDescent="0.3">
      <c r="A58" s="22" t="s">
        <v>28</v>
      </c>
      <c r="B58" s="17">
        <f>E46</f>
        <v>1460.8695652173913</v>
      </c>
      <c r="C58" s="24"/>
      <c r="D58" s="14"/>
      <c r="E58" s="15"/>
      <c r="G58" s="22" t="s">
        <v>28</v>
      </c>
      <c r="H58" s="17">
        <f>K46</f>
        <v>1914.6449704142012</v>
      </c>
      <c r="I58" s="24"/>
      <c r="J58" s="14"/>
      <c r="K58" s="15"/>
    </row>
    <row r="59" spans="1:11" x14ac:dyDescent="0.3">
      <c r="A59" s="22" t="s">
        <v>29</v>
      </c>
      <c r="B59" s="30">
        <f>D52</f>
        <v>276</v>
      </c>
      <c r="C59" s="24"/>
      <c r="D59" s="14"/>
      <c r="E59" s="15"/>
      <c r="G59" s="22" t="s">
        <v>29</v>
      </c>
      <c r="H59" s="30">
        <f>J52</f>
        <v>338</v>
      </c>
      <c r="I59" s="24"/>
      <c r="J59" s="14"/>
      <c r="K59" s="15"/>
    </row>
    <row r="60" spans="1:11" x14ac:dyDescent="0.3">
      <c r="A60" s="22" t="s">
        <v>30</v>
      </c>
      <c r="B60" s="17">
        <f>C46</f>
        <v>403200</v>
      </c>
      <c r="C60" s="25"/>
      <c r="D60" s="14"/>
      <c r="E60" s="15"/>
      <c r="G60" s="22" t="s">
        <v>30</v>
      </c>
      <c r="H60" s="17">
        <f>I46</f>
        <v>647150</v>
      </c>
      <c r="I60" s="25"/>
      <c r="J60" s="14"/>
      <c r="K60" s="15"/>
    </row>
    <row r="61" spans="1:11" x14ac:dyDescent="0.3">
      <c r="A61" s="22" t="s">
        <v>31</v>
      </c>
      <c r="B61" s="17">
        <f>C45</f>
        <v>50000</v>
      </c>
      <c r="C61" s="24"/>
      <c r="D61" s="14"/>
      <c r="E61" s="15"/>
      <c r="G61" s="22" t="s">
        <v>31</v>
      </c>
      <c r="H61" s="17">
        <f>I45</f>
        <v>50000</v>
      </c>
      <c r="I61" s="24"/>
      <c r="J61" s="14"/>
      <c r="K61" s="15"/>
    </row>
    <row r="62" spans="1:11" ht="15" thickBot="1" x14ac:dyDescent="0.35">
      <c r="A62" s="26" t="s">
        <v>22</v>
      </c>
      <c r="B62" s="27">
        <f>(B61/B60)*100</f>
        <v>12.400793650793652</v>
      </c>
      <c r="C62" s="28"/>
      <c r="D62" s="14"/>
      <c r="E62" s="15"/>
      <c r="G62" s="26" t="s">
        <v>22</v>
      </c>
      <c r="H62" s="27">
        <f>(H61/H60)*100</f>
        <v>7.7261840377037778</v>
      </c>
      <c r="I62" s="28"/>
      <c r="J62" s="14"/>
      <c r="K62" s="15"/>
    </row>
    <row r="64" spans="1:11" x14ac:dyDescent="0.3">
      <c r="A64" s="3" t="s">
        <v>2</v>
      </c>
      <c r="B64" s="3"/>
      <c r="C64" s="3" t="s">
        <v>15</v>
      </c>
      <c r="D64" s="6"/>
      <c r="E64" s="6"/>
      <c r="G64" s="3" t="s">
        <v>2</v>
      </c>
      <c r="H64" s="3"/>
      <c r="I64" s="3" t="s">
        <v>19</v>
      </c>
      <c r="J64" s="6"/>
      <c r="K64" s="6"/>
    </row>
    <row r="65" spans="1:11" x14ac:dyDescent="0.3">
      <c r="A65" s="8" t="s">
        <v>0</v>
      </c>
      <c r="B65" s="8"/>
      <c r="C65" s="9">
        <v>50000</v>
      </c>
      <c r="D65" s="6"/>
      <c r="E65" s="7"/>
      <c r="G65" s="8" t="s">
        <v>0</v>
      </c>
      <c r="H65" s="8"/>
      <c r="I65" s="9">
        <v>50000</v>
      </c>
      <c r="J65" s="6"/>
      <c r="K65" s="7"/>
    </row>
    <row r="66" spans="1:11" x14ac:dyDescent="0.3">
      <c r="A66" s="3" t="s">
        <v>1</v>
      </c>
      <c r="B66" s="3"/>
      <c r="C66" s="5">
        <v>336900</v>
      </c>
      <c r="D66" s="3" t="s">
        <v>23</v>
      </c>
      <c r="E66" s="5">
        <f>C66/D72</f>
        <v>1316.015625</v>
      </c>
      <c r="G66" s="3" t="s">
        <v>1</v>
      </c>
      <c r="H66" s="3"/>
      <c r="I66" s="5">
        <v>235200</v>
      </c>
      <c r="J66" s="3" t="s">
        <v>23</v>
      </c>
      <c r="K66" s="5">
        <f>I66/J72</f>
        <v>1264.516129032258</v>
      </c>
    </row>
    <row r="67" spans="1:11" x14ac:dyDescent="0.3">
      <c r="A67" s="4" t="s">
        <v>12</v>
      </c>
      <c r="B67" s="4" t="s">
        <v>24</v>
      </c>
      <c r="C67" s="4" t="s">
        <v>8</v>
      </c>
      <c r="D67" s="4" t="s">
        <v>9</v>
      </c>
      <c r="E67" s="4" t="s">
        <v>11</v>
      </c>
      <c r="G67" s="4" t="s">
        <v>12</v>
      </c>
      <c r="H67" s="4" t="s">
        <v>24</v>
      </c>
      <c r="I67" s="4" t="s">
        <v>8</v>
      </c>
      <c r="J67" s="4" t="s">
        <v>9</v>
      </c>
      <c r="K67" s="4" t="s">
        <v>11</v>
      </c>
    </row>
    <row r="68" spans="1:11" x14ac:dyDescent="0.3">
      <c r="A68" s="1" t="s">
        <v>4</v>
      </c>
      <c r="B68" s="13">
        <v>10000</v>
      </c>
      <c r="C68" s="1">
        <v>695</v>
      </c>
      <c r="D68" s="1">
        <v>91</v>
      </c>
      <c r="E68" s="2">
        <f>D68/C68</f>
        <v>0.13093525179856116</v>
      </c>
      <c r="G68" s="1" t="s">
        <v>4</v>
      </c>
      <c r="H68" s="13">
        <v>10000</v>
      </c>
      <c r="I68" s="1">
        <v>459</v>
      </c>
      <c r="J68" s="1">
        <v>55</v>
      </c>
      <c r="K68" s="2">
        <f>J68/I68</f>
        <v>0.11982570806100218</v>
      </c>
    </row>
    <row r="69" spans="1:11" x14ac:dyDescent="0.3">
      <c r="A69" s="1" t="s">
        <v>5</v>
      </c>
      <c r="B69" s="13">
        <v>20000</v>
      </c>
      <c r="C69" s="1">
        <v>486</v>
      </c>
      <c r="D69" s="1">
        <v>81</v>
      </c>
      <c r="E69" s="2">
        <f>D69/C69</f>
        <v>0.16666666666666666</v>
      </c>
      <c r="G69" s="1" t="s">
        <v>5</v>
      </c>
      <c r="H69" s="13">
        <v>20000</v>
      </c>
      <c r="I69" s="1">
        <v>560</v>
      </c>
      <c r="J69" s="1">
        <v>59</v>
      </c>
      <c r="K69" s="2">
        <f t="shared" ref="K69:K72" si="5">J69/I69</f>
        <v>0.10535714285714286</v>
      </c>
    </row>
    <row r="70" spans="1:11" x14ac:dyDescent="0.3">
      <c r="A70" s="1" t="s">
        <v>6</v>
      </c>
      <c r="B70" s="13">
        <v>10000</v>
      </c>
      <c r="C70" s="1">
        <v>236</v>
      </c>
      <c r="D70" s="1">
        <v>79</v>
      </c>
      <c r="E70" s="2">
        <f>D70/C70</f>
        <v>0.3347457627118644</v>
      </c>
      <c r="G70" s="1" t="s">
        <v>6</v>
      </c>
      <c r="H70" s="13">
        <v>10000</v>
      </c>
      <c r="I70" s="1">
        <v>320</v>
      </c>
      <c r="J70" s="1">
        <v>68</v>
      </c>
      <c r="K70" s="2">
        <f t="shared" si="5"/>
        <v>0.21249999999999999</v>
      </c>
    </row>
    <row r="71" spans="1:11" x14ac:dyDescent="0.3">
      <c r="A71" s="1" t="s">
        <v>7</v>
      </c>
      <c r="B71" s="13">
        <v>10000</v>
      </c>
      <c r="C71" s="1">
        <v>44</v>
      </c>
      <c r="D71" s="1">
        <v>5</v>
      </c>
      <c r="E71" s="2">
        <f>D71/C71</f>
        <v>0.11363636363636363</v>
      </c>
      <c r="G71" s="1" t="s">
        <v>7</v>
      </c>
      <c r="H71" s="13">
        <v>10000</v>
      </c>
      <c r="I71" s="1">
        <v>39</v>
      </c>
      <c r="J71" s="1">
        <v>4</v>
      </c>
      <c r="K71" s="2">
        <f t="shared" si="5"/>
        <v>0.10256410256410256</v>
      </c>
    </row>
    <row r="72" spans="1:11" x14ac:dyDescent="0.3">
      <c r="A72" s="1" t="s">
        <v>10</v>
      </c>
      <c r="B72" s="13">
        <f>SUM(B68:B71)</f>
        <v>50000</v>
      </c>
      <c r="C72" s="1">
        <f>SUM(C68:C71)</f>
        <v>1461</v>
      </c>
      <c r="D72" s="1">
        <f>SUM(D68:D71)</f>
        <v>256</v>
      </c>
      <c r="E72" s="2">
        <f>D72/C72</f>
        <v>0.17522245037645448</v>
      </c>
      <c r="G72" s="1" t="s">
        <v>10</v>
      </c>
      <c r="H72" s="13">
        <f>SUM(H68:H71)</f>
        <v>50000</v>
      </c>
      <c r="I72" s="1">
        <f>SUM(I68:I71)</f>
        <v>1378</v>
      </c>
      <c r="J72" s="1">
        <f>SUM(J68:J71)</f>
        <v>186</v>
      </c>
      <c r="K72" s="2">
        <f t="shared" si="5"/>
        <v>0.13497822931785197</v>
      </c>
    </row>
    <row r="73" spans="1:11" ht="15" thickBot="1" x14ac:dyDescent="0.35"/>
    <row r="74" spans="1:11" x14ac:dyDescent="0.3">
      <c r="A74" s="19"/>
      <c r="B74" s="20"/>
      <c r="C74" s="21"/>
      <c r="G74" s="19"/>
      <c r="H74" s="20"/>
      <c r="I74" s="21"/>
    </row>
    <row r="75" spans="1:11" x14ac:dyDescent="0.3">
      <c r="A75" s="22" t="s">
        <v>26</v>
      </c>
      <c r="B75" s="17" t="s">
        <v>25</v>
      </c>
      <c r="C75" s="23"/>
      <c r="G75" s="22" t="s">
        <v>26</v>
      </c>
      <c r="H75" s="17" t="s">
        <v>25</v>
      </c>
      <c r="I75" s="23"/>
    </row>
    <row r="76" spans="1:11" x14ac:dyDescent="0.3">
      <c r="A76" s="22"/>
      <c r="B76" s="17" t="s">
        <v>27</v>
      </c>
      <c r="C76" s="24"/>
      <c r="G76" s="22"/>
      <c r="H76" s="17" t="s">
        <v>27</v>
      </c>
      <c r="I76" s="24"/>
    </row>
    <row r="77" spans="1:11" x14ac:dyDescent="0.3">
      <c r="A77" s="22"/>
      <c r="B77" s="17"/>
      <c r="C77" s="24"/>
      <c r="G77" s="22"/>
      <c r="H77" s="17"/>
      <c r="I77" s="24"/>
    </row>
    <row r="78" spans="1:11" x14ac:dyDescent="0.3">
      <c r="A78" s="22" t="s">
        <v>28</v>
      </c>
      <c r="B78" s="17">
        <f>E66</f>
        <v>1316.015625</v>
      </c>
      <c r="C78" s="24"/>
      <c r="G78" s="22" t="s">
        <v>28</v>
      </c>
      <c r="H78" s="17">
        <f>K66</f>
        <v>1264.516129032258</v>
      </c>
      <c r="I78" s="24"/>
    </row>
    <row r="79" spans="1:11" x14ac:dyDescent="0.3">
      <c r="A79" s="22" t="s">
        <v>29</v>
      </c>
      <c r="B79" s="30">
        <f>D72</f>
        <v>256</v>
      </c>
      <c r="C79" s="24"/>
      <c r="G79" s="22" t="s">
        <v>29</v>
      </c>
      <c r="H79" s="30">
        <f>J72</f>
        <v>186</v>
      </c>
      <c r="I79" s="24"/>
    </row>
    <row r="80" spans="1:11" x14ac:dyDescent="0.3">
      <c r="A80" s="22" t="s">
        <v>30</v>
      </c>
      <c r="B80" s="17">
        <f>C66</f>
        <v>336900</v>
      </c>
      <c r="C80" s="25"/>
      <c r="G80" s="22" t="s">
        <v>30</v>
      </c>
      <c r="H80" s="17">
        <f>I66</f>
        <v>235200</v>
      </c>
      <c r="I80" s="25"/>
    </row>
    <row r="81" spans="1:11" x14ac:dyDescent="0.3">
      <c r="A81" s="22" t="s">
        <v>31</v>
      </c>
      <c r="B81" s="17">
        <f>C65</f>
        <v>50000</v>
      </c>
      <c r="C81" s="24"/>
      <c r="G81" s="22" t="s">
        <v>31</v>
      </c>
      <c r="H81" s="17">
        <f>I65</f>
        <v>50000</v>
      </c>
      <c r="I81" s="24"/>
    </row>
    <row r="82" spans="1:11" ht="15" thickBot="1" x14ac:dyDescent="0.35">
      <c r="A82" s="26" t="s">
        <v>22</v>
      </c>
      <c r="B82" s="27">
        <f>(B81/B80)*100</f>
        <v>14.841199168892846</v>
      </c>
      <c r="C82" s="28"/>
      <c r="G82" s="26" t="s">
        <v>22</v>
      </c>
      <c r="H82" s="27">
        <f>(H81/H80)*100</f>
        <v>21.258503401360542</v>
      </c>
      <c r="I82" s="28"/>
    </row>
    <row r="83" spans="1:11" x14ac:dyDescent="0.3">
      <c r="A83" s="16"/>
      <c r="B83" s="18"/>
      <c r="C83" s="16"/>
    </row>
    <row r="84" spans="1:11" x14ac:dyDescent="0.3">
      <c r="G84" s="3" t="s">
        <v>2</v>
      </c>
      <c r="H84" s="3"/>
      <c r="I84" s="3" t="s">
        <v>20</v>
      </c>
      <c r="J84" s="6"/>
      <c r="K84" s="6"/>
    </row>
    <row r="85" spans="1:11" x14ac:dyDescent="0.3">
      <c r="G85" s="8" t="s">
        <v>0</v>
      </c>
      <c r="H85" s="8"/>
      <c r="I85" s="9">
        <v>50000</v>
      </c>
      <c r="J85" s="6"/>
      <c r="K85" s="7"/>
    </row>
    <row r="86" spans="1:11" x14ac:dyDescent="0.3">
      <c r="G86" s="3" t="s">
        <v>1</v>
      </c>
      <c r="H86" s="3"/>
      <c r="I86" s="5">
        <v>293200</v>
      </c>
      <c r="J86" s="3" t="s">
        <v>23</v>
      </c>
      <c r="K86" s="5">
        <f>I86/J92</f>
        <v>1511.340206185567</v>
      </c>
    </row>
    <row r="87" spans="1:11" x14ac:dyDescent="0.3">
      <c r="G87" s="4" t="s">
        <v>12</v>
      </c>
      <c r="H87" s="4" t="s">
        <v>24</v>
      </c>
      <c r="I87" s="4" t="s">
        <v>8</v>
      </c>
      <c r="J87" s="4" t="s">
        <v>9</v>
      </c>
      <c r="K87" s="4" t="s">
        <v>11</v>
      </c>
    </row>
    <row r="88" spans="1:11" x14ac:dyDescent="0.3">
      <c r="G88" s="1" t="s">
        <v>4</v>
      </c>
      <c r="H88" s="13">
        <v>10000</v>
      </c>
      <c r="I88" s="1">
        <v>268</v>
      </c>
      <c r="J88" s="1">
        <v>58</v>
      </c>
      <c r="K88" s="2">
        <f>J88/I88</f>
        <v>0.21641791044776118</v>
      </c>
    </row>
    <row r="89" spans="1:11" x14ac:dyDescent="0.3">
      <c r="G89" s="1" t="s">
        <v>5</v>
      </c>
      <c r="H89" s="13">
        <v>20000</v>
      </c>
      <c r="I89" s="1">
        <v>251</v>
      </c>
      <c r="J89" s="1">
        <v>61</v>
      </c>
      <c r="K89" s="2">
        <f t="shared" ref="K89:K92" si="6">J89/I89</f>
        <v>0.24302788844621515</v>
      </c>
    </row>
    <row r="90" spans="1:11" x14ac:dyDescent="0.3">
      <c r="G90" s="1" t="s">
        <v>6</v>
      </c>
      <c r="H90" s="13">
        <v>10000</v>
      </c>
      <c r="I90" s="1">
        <v>264</v>
      </c>
      <c r="J90" s="1">
        <v>72</v>
      </c>
      <c r="K90" s="2">
        <f t="shared" si="6"/>
        <v>0.27272727272727271</v>
      </c>
    </row>
    <row r="91" spans="1:11" x14ac:dyDescent="0.3">
      <c r="G91" s="1" t="s">
        <v>7</v>
      </c>
      <c r="H91" s="13">
        <v>10000</v>
      </c>
      <c r="I91" s="1">
        <v>37</v>
      </c>
      <c r="J91" s="1">
        <v>3</v>
      </c>
      <c r="K91" s="2">
        <f t="shared" si="6"/>
        <v>8.1081081081081086E-2</v>
      </c>
    </row>
    <row r="92" spans="1:11" x14ac:dyDescent="0.3">
      <c r="G92" s="1" t="s">
        <v>10</v>
      </c>
      <c r="H92" s="13">
        <f>SUM(H88:H91)</f>
        <v>50000</v>
      </c>
      <c r="I92" s="1">
        <f>SUM(I88:I91)</f>
        <v>820</v>
      </c>
      <c r="J92" s="1">
        <f>SUM(J88:J91)</f>
        <v>194</v>
      </c>
      <c r="K92" s="2">
        <f t="shared" si="6"/>
        <v>0.23658536585365852</v>
      </c>
    </row>
    <row r="93" spans="1:11" ht="15" thickBot="1" x14ac:dyDescent="0.35"/>
    <row r="94" spans="1:11" x14ac:dyDescent="0.3">
      <c r="G94" s="19"/>
      <c r="H94" s="20"/>
      <c r="I94" s="21"/>
    </row>
    <row r="95" spans="1:11" x14ac:dyDescent="0.3">
      <c r="G95" s="22" t="s">
        <v>26</v>
      </c>
      <c r="H95" s="17" t="s">
        <v>25</v>
      </c>
      <c r="I95" s="23"/>
    </row>
    <row r="96" spans="1:11" x14ac:dyDescent="0.3">
      <c r="G96" s="22"/>
      <c r="H96" s="17" t="s">
        <v>27</v>
      </c>
      <c r="I96" s="24"/>
    </row>
    <row r="97" spans="7:9" x14ac:dyDescent="0.3">
      <c r="G97" s="22"/>
      <c r="H97" s="17"/>
      <c r="I97" s="24"/>
    </row>
    <row r="98" spans="7:9" x14ac:dyDescent="0.3">
      <c r="G98" s="22" t="s">
        <v>28</v>
      </c>
      <c r="H98" s="17">
        <f>K86</f>
        <v>1511.340206185567</v>
      </c>
      <c r="I98" s="24"/>
    </row>
    <row r="99" spans="7:9" x14ac:dyDescent="0.3">
      <c r="G99" s="22" t="s">
        <v>29</v>
      </c>
      <c r="H99" s="30">
        <f>J92</f>
        <v>194</v>
      </c>
      <c r="I99" s="24"/>
    </row>
    <row r="100" spans="7:9" x14ac:dyDescent="0.3">
      <c r="G100" s="22" t="s">
        <v>30</v>
      </c>
      <c r="H100" s="17">
        <f>I86</f>
        <v>293200</v>
      </c>
      <c r="I100" s="25"/>
    </row>
    <row r="101" spans="7:9" x14ac:dyDescent="0.3">
      <c r="G101" s="22" t="s">
        <v>31</v>
      </c>
      <c r="H101" s="17">
        <f>I85</f>
        <v>50000</v>
      </c>
      <c r="I101" s="24"/>
    </row>
    <row r="102" spans="7:9" ht="15" thickBot="1" x14ac:dyDescent="0.35">
      <c r="G102" s="26" t="s">
        <v>22</v>
      </c>
      <c r="H102" s="27">
        <f>(H101/H100)*100</f>
        <v>17.053206002728512</v>
      </c>
      <c r="I102" s="28"/>
    </row>
  </sheetData>
  <mergeCells count="2">
    <mergeCell ref="A1:I2"/>
    <mergeCell ref="F18:F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Guzman De Leon</dc:creator>
  <cp:lastModifiedBy>Julio Guzman De Leon</cp:lastModifiedBy>
  <dcterms:created xsi:type="dcterms:W3CDTF">2026-10-21T22:15:52Z</dcterms:created>
  <dcterms:modified xsi:type="dcterms:W3CDTF">2026-10-22T05:36:41Z</dcterms:modified>
</cp:coreProperties>
</file>