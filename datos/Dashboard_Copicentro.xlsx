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Mensuales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94bgMj0kJVEmwqmioxSknZ8EZgR1bsqzkVF8H2EAJwY="/>
    </ext>
  </extLst>
</workbook>
</file>

<file path=xl/sharedStrings.xml><?xml version="1.0" encoding="utf-8"?>
<sst xmlns="http://schemas.openxmlformats.org/spreadsheetml/2006/main" count="44" uniqueCount="30">
  <si>
    <t xml:space="preserve">RESUMEN DATOS MENSUALES </t>
  </si>
  <si>
    <t>Mes</t>
  </si>
  <si>
    <t xml:space="preserve">Visitas web/otros </t>
  </si>
  <si>
    <t>Clics / consultas</t>
  </si>
  <si>
    <t>Cierre de ventas</t>
  </si>
  <si>
    <t>Ventas mensuales</t>
  </si>
  <si>
    <t>Clientes nuevos</t>
  </si>
  <si>
    <t>Conversión</t>
  </si>
  <si>
    <t>Ticket promedio (Q)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</si>
  <si>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</si>
  <si>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</si>
  <si>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</si>
  <si>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</si>
  <si>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</si>
  <si>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</si>
  <si>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</si>
  <si>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</si>
  <si>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</si>
  <si>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 xml:space="preserve">TOTAL </t>
  </si>
  <si>
    <t xml:space="preserve">MEDIOS DE COMUNICACIÓN Y VENTAS APORTADAS </t>
  </si>
  <si>
    <t>Canal / origen</t>
  </si>
  <si>
    <t>Visitas</t>
  </si>
  <si>
    <t>Ingresos (Q)</t>
  </si>
  <si>
    <t>Facebook / Instagram</t>
  </si>
  <si>
    <t>Google / búsqueda</t>
  </si>
  <si>
    <t>WhatsApp</t>
  </si>
  <si>
    <t>Clientes recurrentes</t>
  </si>
  <si>
    <t>Referidos</t>
  </si>
  <si>
    <t xml:space="preserve">% DE PARTICIPACIÓN DE CADA MEDIO DE COMUNICACIÓN </t>
  </si>
  <si>
    <t>Ventas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</si>
</sst>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Q&quot;\ #,##0.00"/>
    <numFmt numFmtId="165" formatCode="_-[$Q-100A]* #,##0.00_-;\-[$Q-100A]* #,##0.00_-;_-[$Q-100A]* &quot;-&quot;??_-;_-@"/>
  </numFmts>
  <fonts count="6">
    <font>
      <sz val="11.0"/>
      <color rgb="FF000000"/>
      <name val="Carlito"/>
      <scheme val="minor"/>
    </font>
    <font>
      <b/>
      <sz val="11.0"/>
      <color rgb="FFFFFFFF"/>
      <name val="Carlito"/>
    </font>
    <font/>
    <font>
      <sz val="11.0"/>
      <color theme="1"/>
      <name val="Carlito"/>
    </font>
    <font>
      <color theme="1"/>
      <name val="Carlito"/>
      <scheme val="minor"/>
    </font>
    <font>
      <b/>
      <sz val="11.0"/>
      <color theme="1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3F2A1D"/>
        <bgColor rgb="FF3F2A1D"/>
      </patternFill>
    </fill>
    <fill>
      <patternFill patternType="solid">
        <fgColor rgb="FFFFF8EE"/>
        <bgColor rgb="FFFFF8EE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3F4F6"/>
        <bgColor rgb="FFF3F4F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readingOrder="0" shrinkToFit="0" vertical="center" wrapText="1"/>
    </xf>
    <xf borderId="4" fillId="3" fontId="3" numFmtId="17" xfId="0" applyBorder="1" applyFill="1" applyFont="1" applyNumberFormat="1"/>
    <xf borderId="4" fillId="4" fontId="3" numFmtId="3" xfId="0" applyBorder="1" applyFill="1" applyFont="1" applyNumberFormat="1"/>
    <xf borderId="4" fillId="4" fontId="3" numFmtId="3" xfId="0" applyAlignment="1" applyBorder="1" applyFill="1" applyFont="1" applyNumberFormat="1">
      <alignment readingOrder="0"/>
    </xf>
    <xf borderId="4" fillId="5" fontId="3" numFmtId="3" xfId="0" applyAlignment="1" applyBorder="1" applyFill="1" applyFont="1" applyNumberFormat="1">
      <alignment horizontal="left" readingOrder="0"/>
    </xf>
    <xf borderId="4" fillId="6" fontId="3" numFmtId="10" xfId="0" applyBorder="1" applyFill="1" applyFont="1" applyNumberFormat="1"/>
    <xf borderId="4" fillId="6" fontId="3" numFmtId="164" xfId="0" applyBorder="1" applyFill="1" applyFont="1" applyNumberFormat="1"/>
    <xf borderId="4" fillId="0" fontId="4" numFmtId="0" xfId="0" applyAlignment="1" applyBorder="1" applyFont="1">
      <alignment readingOrder="0"/>
    </xf>
    <xf borderId="4" fillId="0" fontId="4" numFmtId="3" xfId="0" applyBorder="1" applyFont="1" applyNumberFormat="1"/>
    <xf borderId="0" fillId="0" fontId="3" numFmtId="0" xfId="0" applyFont="1"/>
    <xf borderId="4" fillId="3" fontId="3" numFmtId="0" xfId="0" applyBorder="1" applyFill="1" applyFont="1"/>
    <xf borderId="4" fillId="3" fontId="3" numFmtId="3" xfId="0" applyAlignment="1" applyBorder="1" applyFill="1" applyFont="1" applyNumberFormat="1">
      <alignment readingOrder="0"/>
    </xf>
    <xf borderId="4" fillId="3" fontId="3" numFmtId="164" xfId="0" applyBorder="1" applyFill="1" applyFont="1" applyNumberFormat="1"/>
    <xf borderId="4" fillId="0" fontId="3" numFmtId="10" xfId="0" applyBorder="1" applyFont="1" applyNumberFormat="1"/>
    <xf borderId="4" fillId="3" fontId="3" numFmtId="3" xfId="0" applyBorder="1" applyFill="1" applyFont="1" applyNumberFormat="1"/>
    <xf borderId="4" fillId="0" fontId="3" numFmtId="3" xfId="0" applyBorder="1" applyFont="1" applyNumberFormat="1"/>
    <xf borderId="4" fillId="0" fontId="3" numFmtId="165" xfId="0" applyBorder="1" applyFont="1" applyNumberFormat="1"/>
    <xf borderId="4" fillId="0" fontId="4" numFmtId="0" xfId="0" applyBorder="1" applyFont="1"/>
    <xf borderId="4" fillId="3" fontId="3" numFmtId="9" xfId="0" applyBorder="1" applyFill="1" applyFont="1" applyNumberFormat="1"/>
    <xf borderId="4" fillId="0" fontId="3" numFmtId="9" xfId="0" applyBorder="1" applyFont="1" applyNumberFormat="1"/>
    <xf borderId="0" fillId="0" fontId="5" numFmtId="0" xfId="0" applyFont="1"/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Cuadro_Comparativo_Ene-Sep_202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os"/>
      <sheetName val="Comparativo"/>
      <sheetName val="Gráfica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4.63"/>
    <col customWidth="1" min="3" max="3" width="16.0"/>
    <col customWidth="1" min="4" max="4" width="12.25"/>
    <col customWidth="1" min="5" max="5" width="13.38"/>
    <col customWidth="1" min="6" max="6" width="12.5"/>
    <col customWidth="1" min="7" max="7" width="15.0"/>
    <col customWidth="1" min="8" max="8" width="23.0"/>
    <col customWidth="1" min="9" max="26" width="8.75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28.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4" t="s">
        <v>6</v>
      </c>
      <c r="G2" s="4" t="s">
        <v>7</v>
      </c>
      <c r="H2" s="4" t="s">
        <v>8</v>
      </c>
    </row>
    <row r="3" ht="12.0" customHeight="1">
      <c r="A3" s="6" t="s">
        <v>9</v>
      </c>
      <c r="B3" s="7">
        <v>2800.0</v>
      </c>
      <c r="C3" s="7">
        <v>950.0</v>
      </c>
      <c r="D3" s="8">
        <v>850.0</v>
      </c>
      <c r="E3" s="9">
        <v>31525.0</v>
      </c>
      <c r="F3" s="8">
        <v>225.0</v>
      </c>
      <c r="G3" s="10">
        <f t="shared" ref="G3:G12" si="1">IF(OR(B3="",D3="",B3=0),"",D3/B3)</f>
        <v>0.3035714286</v>
      </c>
      <c r="H3" s="11">
        <f t="shared" ref="H3:H12" si="2">IF(OR(E3="",D3="",D3=0),"",E3/D3)</f>
        <v>37.08823529</v>
      </c>
    </row>
    <row r="4" ht="12.0" customHeight="1">
      <c r="A4" s="6" t="s">
        <v>10</v>
      </c>
      <c r="B4" s="7">
        <v>3050.0</v>
      </c>
      <c r="C4" s="7">
        <v>1020.0</v>
      </c>
      <c r="D4" s="8">
        <v>700.0</v>
      </c>
      <c r="E4" s="9">
        <v>38075.0</v>
      </c>
      <c r="F4" s="7">
        <v>225.0</v>
      </c>
      <c r="G4" s="10">
        <f t="shared" si="1"/>
        <v>0.2295081967</v>
      </c>
      <c r="H4" s="11">
        <f t="shared" si="2"/>
        <v>54.39285714</v>
      </c>
    </row>
    <row r="5" ht="12.0" customHeight="1">
      <c r="A5" s="6" t="s">
        <v>11</v>
      </c>
      <c r="B5" s="7">
        <v>3400.0</v>
      </c>
      <c r="C5" s="7">
        <v>1180.0</v>
      </c>
      <c r="D5" s="8">
        <v>875.0</v>
      </c>
      <c r="E5" s="9">
        <v>48300.0</v>
      </c>
      <c r="F5" s="7">
        <v>225.0</v>
      </c>
      <c r="G5" s="10">
        <f t="shared" si="1"/>
        <v>0.2573529412</v>
      </c>
      <c r="H5" s="11">
        <f t="shared" si="2"/>
        <v>55.2</v>
      </c>
    </row>
    <row r="6" ht="12.0" customHeight="1">
      <c r="A6" s="6" t="s">
        <v>12</v>
      </c>
      <c r="B6" s="7">
        <v>3250.0</v>
      </c>
      <c r="C6" s="7">
        <v>1120.0</v>
      </c>
      <c r="D6" s="8">
        <v>900.0</v>
      </c>
      <c r="E6" s="9">
        <v>25200.0</v>
      </c>
      <c r="F6" s="7">
        <v>238.0</v>
      </c>
      <c r="G6" s="10">
        <f t="shared" si="1"/>
        <v>0.2769230769</v>
      </c>
      <c r="H6" s="11">
        <f t="shared" si="2"/>
        <v>28</v>
      </c>
    </row>
    <row r="7" ht="12.0" customHeight="1">
      <c r="A7" s="6" t="s">
        <v>13</v>
      </c>
      <c r="B7" s="7">
        <v>3750.0</v>
      </c>
      <c r="C7" s="7">
        <v>1320.0</v>
      </c>
      <c r="D7" s="8">
        <v>888.0</v>
      </c>
      <c r="E7" s="9">
        <v>35150.0</v>
      </c>
      <c r="F7" s="7">
        <v>275.0</v>
      </c>
      <c r="G7" s="10">
        <f t="shared" si="1"/>
        <v>0.2368</v>
      </c>
      <c r="H7" s="11">
        <f t="shared" si="2"/>
        <v>39.58333333</v>
      </c>
    </row>
    <row r="8" ht="12.0" customHeight="1">
      <c r="A8" s="6" t="s">
        <v>14</v>
      </c>
      <c r="B8" s="7">
        <v>4100.0</v>
      </c>
      <c r="C8" s="7">
        <v>1450.0</v>
      </c>
      <c r="D8" s="8">
        <v>1102.0</v>
      </c>
      <c r="E8" s="9">
        <v>20200.0</v>
      </c>
      <c r="F8" s="7">
        <v>238.0</v>
      </c>
      <c r="G8" s="10">
        <f t="shared" si="1"/>
        <v>0.2687804878</v>
      </c>
      <c r="H8" s="11">
        <f t="shared" si="2"/>
        <v>18.33030853</v>
      </c>
    </row>
    <row r="9" ht="12.0" customHeight="1">
      <c r="A9" s="6" t="s">
        <v>15</v>
      </c>
      <c r="B9" s="7">
        <v>4350.0</v>
      </c>
      <c r="C9" s="7">
        <v>1510.0</v>
      </c>
      <c r="D9" s="8">
        <v>1275.0</v>
      </c>
      <c r="E9" s="9">
        <v>25750.0</v>
      </c>
      <c r="F9" s="7">
        <v>312.0</v>
      </c>
      <c r="G9" s="10">
        <f t="shared" si="1"/>
        <v>0.2931034483</v>
      </c>
      <c r="H9" s="11">
        <f t="shared" si="2"/>
        <v>20.19607843</v>
      </c>
    </row>
    <row r="10" ht="12.0" customHeight="1">
      <c r="A10" s="6" t="s">
        <v>16</v>
      </c>
      <c r="B10" s="7">
        <v>4700.0</v>
      </c>
      <c r="C10" s="7">
        <v>1660.0</v>
      </c>
      <c r="D10" s="8">
        <v>1390.0</v>
      </c>
      <c r="E10" s="9">
        <v>32325.0</v>
      </c>
      <c r="F10" s="7">
        <v>238.0</v>
      </c>
      <c r="G10" s="10">
        <f t="shared" si="1"/>
        <v>0.2957446809</v>
      </c>
      <c r="H10" s="11">
        <f t="shared" si="2"/>
        <v>23.25539568</v>
      </c>
    </row>
    <row r="11" ht="12.0" customHeight="1">
      <c r="A11" s="6" t="s">
        <v>17</v>
      </c>
      <c r="B11" s="7">
        <v>5150.0</v>
      </c>
      <c r="C11" s="7">
        <v>1840.0</v>
      </c>
      <c r="D11" s="8">
        <v>1625.0</v>
      </c>
      <c r="E11" s="9">
        <v>21175.0</v>
      </c>
      <c r="F11" s="7">
        <v>238.0</v>
      </c>
      <c r="G11" s="10">
        <f t="shared" si="1"/>
        <v>0.3155339806</v>
      </c>
      <c r="H11" s="11">
        <f t="shared" si="2"/>
        <v>13.03076923</v>
      </c>
    </row>
    <row r="12" ht="12.0" customHeight="1">
      <c r="A12" s="12" t="s">
        <v>18</v>
      </c>
      <c r="B12" s="13">
        <f t="shared" ref="B12:D12" si="3">SUM(B3,B3:B8,B8:B11,B11)</f>
        <v>46600</v>
      </c>
      <c r="C12" s="13">
        <f t="shared" si="3"/>
        <v>16290</v>
      </c>
      <c r="D12" s="13">
        <f t="shared" si="3"/>
        <v>13182</v>
      </c>
      <c r="E12" s="13">
        <f>SUM(E3:E11)</f>
        <v>277700</v>
      </c>
      <c r="F12" s="13">
        <f>SUM(F3,F3:F8,F8:F11,F11)</f>
        <v>2915</v>
      </c>
      <c r="G12" s="10">
        <f t="shared" si="1"/>
        <v>0.2828755365</v>
      </c>
      <c r="H12" s="11">
        <f t="shared" si="2"/>
        <v>21.06660598</v>
      </c>
    </row>
    <row r="13" ht="12.0" customHeight="1">
      <c r="A13" s="14"/>
    </row>
    <row r="14" ht="13.5" customHeight="1"/>
    <row r="15" ht="13.5" customHeight="1">
      <c r="A15" s="1" t="s">
        <v>19</v>
      </c>
      <c r="B15" s="2"/>
      <c r="C15" s="2"/>
      <c r="D15" s="2"/>
      <c r="E15" s="2"/>
      <c r="F15" s="3"/>
    </row>
    <row r="16" ht="13.5" customHeight="1">
      <c r="A16" s="4" t="s">
        <v>20</v>
      </c>
      <c r="B16" s="4" t="s">
        <v>21</v>
      </c>
      <c r="C16" s="4" t="s">
        <v>3</v>
      </c>
      <c r="D16" s="5" t="s">
        <v>4</v>
      </c>
      <c r="E16" s="4" t="s">
        <v>22</v>
      </c>
      <c r="F16" s="4" t="s">
        <v>7</v>
      </c>
    </row>
    <row r="17" ht="13.5" customHeight="1">
      <c r="A17" s="15" t="s">
        <v>23</v>
      </c>
      <c r="B17" s="16">
        <v>9500.0</v>
      </c>
      <c r="C17" s="16">
        <v>5400.0</v>
      </c>
      <c r="D17" s="16">
        <v>3202.0</v>
      </c>
      <c r="E17" s="17">
        <v>51800.0</v>
      </c>
      <c r="F17" s="18">
        <f t="shared" ref="F17:F21" si="4">IFERROR(D17/B17,0)</f>
        <v>0.3370526316</v>
      </c>
    </row>
    <row r="18" ht="13.5" customHeight="1">
      <c r="A18" s="15" t="s">
        <v>24</v>
      </c>
      <c r="B18" s="16">
        <v>7800.0</v>
      </c>
      <c r="C18" s="16">
        <v>4900.0</v>
      </c>
      <c r="D18" s="16">
        <v>3280.0</v>
      </c>
      <c r="E18" s="17">
        <v>46600.0</v>
      </c>
      <c r="F18" s="18">
        <f t="shared" si="4"/>
        <v>0.4205128205</v>
      </c>
    </row>
    <row r="19" ht="13.5" customHeight="1">
      <c r="A19" s="15" t="s">
        <v>25</v>
      </c>
      <c r="B19" s="16">
        <v>12900.0</v>
      </c>
      <c r="C19" s="16">
        <v>5990.0</v>
      </c>
      <c r="D19" s="16">
        <v>3400.0</v>
      </c>
      <c r="E19" s="17">
        <v>63200.0</v>
      </c>
      <c r="F19" s="18">
        <f t="shared" si="4"/>
        <v>0.2635658915</v>
      </c>
    </row>
    <row r="20" ht="13.5" customHeight="1">
      <c r="A20" s="15" t="s">
        <v>26</v>
      </c>
      <c r="B20" s="16">
        <v>9700.0</v>
      </c>
      <c r="C20" s="16">
        <v>0.0</v>
      </c>
      <c r="D20" s="16">
        <v>1800.0</v>
      </c>
      <c r="E20" s="17">
        <v>75900.0</v>
      </c>
      <c r="F20" s="18">
        <f t="shared" si="4"/>
        <v>0.1855670103</v>
      </c>
    </row>
    <row r="21" ht="13.5" customHeight="1">
      <c r="A21" s="15" t="s">
        <v>27</v>
      </c>
      <c r="B21" s="16">
        <v>6700.0</v>
      </c>
      <c r="C21" s="19">
        <v>0.0</v>
      </c>
      <c r="D21" s="16">
        <v>1500.0</v>
      </c>
      <c r="E21" s="17">
        <v>40200.0</v>
      </c>
      <c r="F21" s="18">
        <f t="shared" si="4"/>
        <v>0.223880597</v>
      </c>
    </row>
    <row r="22" ht="13.5" customHeight="1">
      <c r="A22" s="15" t="s">
        <v>18</v>
      </c>
      <c r="B22" s="20">
        <f t="shared" ref="B22:E22" si="5">SUM(B17:B21)</f>
        <v>46600</v>
      </c>
      <c r="C22" s="20">
        <f t="shared" si="5"/>
        <v>16290</v>
      </c>
      <c r="D22" s="20">
        <f t="shared" si="5"/>
        <v>13182</v>
      </c>
      <c r="E22" s="21">
        <f t="shared" si="5"/>
        <v>277700</v>
      </c>
      <c r="F22" s="22"/>
    </row>
    <row r="23" ht="13.5" customHeight="1"/>
    <row r="24" ht="13.5" customHeight="1"/>
    <row r="25" ht="13.5" customHeight="1">
      <c r="A25" s="1" t="s">
        <v>28</v>
      </c>
      <c r="B25" s="2"/>
      <c r="C25" s="2"/>
      <c r="D25" s="2"/>
      <c r="E25" s="2"/>
      <c r="F25" s="3"/>
    </row>
    <row r="26" ht="13.5" customHeight="1">
      <c r="A26" s="4" t="s">
        <v>20</v>
      </c>
      <c r="B26" s="4" t="s">
        <v>21</v>
      </c>
      <c r="C26" s="4" t="s">
        <v>3</v>
      </c>
      <c r="D26" s="4" t="s">
        <v>29</v>
      </c>
      <c r="E26" s="4" t="s">
        <v>22</v>
      </c>
      <c r="F26" s="4"/>
    </row>
    <row r="27" ht="13.5" customHeight="1">
      <c r="A27" s="15" t="s">
        <v>23</v>
      </c>
      <c r="B27" s="23">
        <f t="shared" ref="B27:E27" si="6">B17/B22</f>
        <v>0.2038626609</v>
      </c>
      <c r="C27" s="23">
        <f t="shared" si="6"/>
        <v>0.3314917127</v>
      </c>
      <c r="D27" s="23">
        <f t="shared" si="6"/>
        <v>0.2429069944</v>
      </c>
      <c r="E27" s="23">
        <f t="shared" si="6"/>
        <v>0.186532229</v>
      </c>
      <c r="F27" s="18"/>
    </row>
    <row r="28" ht="13.5" customHeight="1">
      <c r="A28" s="15" t="s">
        <v>24</v>
      </c>
      <c r="B28" s="23">
        <f t="shared" ref="B28:E28" si="7">B18/B22</f>
        <v>0.1673819742</v>
      </c>
      <c r="C28" s="23">
        <f t="shared" si="7"/>
        <v>0.3007980356</v>
      </c>
      <c r="D28" s="23">
        <f t="shared" si="7"/>
        <v>0.2488241541</v>
      </c>
      <c r="E28" s="23">
        <f t="shared" si="7"/>
        <v>0.167806986</v>
      </c>
      <c r="F28" s="18"/>
    </row>
    <row r="29" ht="13.5" customHeight="1">
      <c r="A29" s="15" t="s">
        <v>25</v>
      </c>
      <c r="B29" s="23">
        <f t="shared" ref="B29:E29" si="8">B19/B22</f>
        <v>0.2768240343</v>
      </c>
      <c r="C29" s="23">
        <f t="shared" si="8"/>
        <v>0.3677102517</v>
      </c>
      <c r="D29" s="23">
        <f t="shared" si="8"/>
        <v>0.2579274769</v>
      </c>
      <c r="E29" s="23">
        <f t="shared" si="8"/>
        <v>0.2275837234</v>
      </c>
      <c r="F29" s="18"/>
    </row>
    <row r="30" ht="13.5" customHeight="1">
      <c r="A30" s="15" t="s">
        <v>26</v>
      </c>
      <c r="B30" s="23">
        <f>B20/B22</f>
        <v>0.2081545064</v>
      </c>
      <c r="C30" s="19">
        <v>0.0</v>
      </c>
      <c r="D30" s="23">
        <f t="shared" ref="D30:E30" si="9">D20/D22</f>
        <v>0.1365498407</v>
      </c>
      <c r="E30" s="23">
        <f t="shared" si="9"/>
        <v>0.2733165286</v>
      </c>
      <c r="F30" s="18"/>
    </row>
    <row r="31" ht="13.5" customHeight="1">
      <c r="A31" s="15" t="s">
        <v>27</v>
      </c>
      <c r="B31" s="23">
        <f>B21/B22</f>
        <v>0.143776824</v>
      </c>
      <c r="C31" s="19">
        <v>0.0</v>
      </c>
      <c r="D31" s="23">
        <f t="shared" ref="D31:E31" si="10">D21/D22</f>
        <v>0.1137915339</v>
      </c>
      <c r="E31" s="23">
        <f t="shared" si="10"/>
        <v>0.1447605329</v>
      </c>
      <c r="F31" s="18"/>
    </row>
    <row r="32" ht="13.5" customHeight="1">
      <c r="A32" s="15" t="s">
        <v>18</v>
      </c>
      <c r="B32" s="23">
        <f t="shared" ref="B32:C32" si="11">B22/B22</f>
        <v>1</v>
      </c>
      <c r="C32" s="24">
        <f t="shared" si="11"/>
        <v>1</v>
      </c>
      <c r="D32" s="24">
        <f>SUM(D27:D31)</f>
        <v>1</v>
      </c>
      <c r="E32" s="24">
        <f>E22/E22</f>
        <v>1</v>
      </c>
      <c r="F32" s="22"/>
    </row>
    <row r="33" ht="13.5" customHeight="1"/>
    <row r="34" ht="13.5" customHeight="1"/>
    <row r="35" ht="13.5" customHeight="1"/>
    <row r="36" ht="13.5" customHeight="1">
      <c r="A36" s="25"/>
    </row>
    <row r="37" ht="13.5" customHeight="1">
      <c r="A37" s="26"/>
    </row>
    <row r="38" ht="13.5" customHeight="1">
      <c r="A38" s="26"/>
    </row>
    <row r="39" ht="13.5" customHeight="1">
      <c r="A39" s="26"/>
    </row>
    <row r="40" ht="13.5" customHeight="1">
      <c r="A40" s="27"/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</sheetData>
  <mergeCells count="5">
    <mergeCell ref="A13:H13"/>
    <mergeCell ref="A1:H1"/>
    <mergeCell ref="A14:F14"/>
    <mergeCell ref="A15:F15"/>
    <mergeCell ref="A25:F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</cp:coreProperties>
</file>