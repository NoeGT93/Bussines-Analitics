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shboard" sheetId="1" r:id="rId4"/>
    <sheet state="visible" name="Datos_Mensuales" sheetId="2" r:id="rId5"/>
    <sheet state="visible" name="Fuentes_Trafico" sheetId="3" r:id="rId6"/>
  </sheets>
  <externalReferences>
    <externalReference r:id="rId7"/>
  </externalReferences>
  <definedNames/>
  <calcPr/>
</workbook>
</file>

<file path=xl/sharedStrings.xml><?xml version="1.0" encoding="utf-8"?>
<sst xmlns="http://schemas.openxmlformats.org/spreadsheetml/2006/main" count="122" uniqueCount="62">
  <si>
    <t>DASHBOARD DIGITAL Y COMERCIAL — COPICENTRO OVNI | QUETZALTENANGO</t>
  </si>
  <si>
    <t>Enero–septiembre 2026. Datos de ejemplo editables.</t>
  </si>
  <si>
    <t>VISITAS WEB</t>
  </si>
  <si>
    <t>CLICS / CONSULTAS</t>
  </si>
  <si>
    <t>VENTAS / TICKETS</t>
  </si>
  <si>
    <t>INGRESOS</t>
  </si>
  <si>
    <t>CONVERSIÓN</t>
  </si>
  <si>
    <t>TICKET PROMEDIO</t>
  </si>
  <si>
    <t>CLIENTES NUEVOS</t>
  </si>
  <si>
    <t>VENTAS / 1,000 VISITAS</t>
  </si>
  <si>
    <t>MES A CONSULTAR</t>
  </si>
  <si>
    <t>Enero</t>
  </si>
  <si>
    <t>Mes</t>
  </si>
  <si>
    <t>Visitas</t>
  </si>
  <si>
    <t>Ventas</t>
  </si>
  <si>
    <t>Clics</t>
  </si>
  <si>
    <t>Canal</t>
  </si>
  <si>
    <t>Facebook / Instagram</t>
  </si>
  <si>
    <t>Google / búsqueda</t>
  </si>
  <si>
    <t>WhatsApp</t>
  </si>
  <si>
    <t>Clientes recurrentes</t>
  </si>
  <si>
    <t>Referidos</t>
  </si>
  <si>
    <t>LECTURA RÁPIDA</t>
  </si>
  <si>
    <t>Elige el mes en H12. Registra tus cifras en Datos_Mensuales (celdas amarillas). Los indicadores y la gráfica mensual se actualizan.</t>
  </si>
  <si>
    <t>Visitas web</t>
  </si>
  <si>
    <t>Clics / consultas</t>
  </si>
  <si>
    <t>Ventas / tickets</t>
  </si>
  <si>
    <t>Ingresos (Q)</t>
  </si>
  <si>
    <t>Clientes nuevos</t>
  </si>
  <si>
    <t>Conversión</t>
  </si>
  <si>
    <t>Ticket promedio (Q)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</si>
  <si>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</si>
  <si>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</si>
  <si>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</si>
  <si>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</si>
  <si>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</si>
  <si>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</si>
  <si>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</si>
  <si>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</si>
  <si>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Escribe tus datos en B2:F10. Las celdas amarillas son editables.</t>
  </si>
  <si>
    <t>Enero–septiembre 2026. Los valores incluidos son ejemplos simulados.</t>
  </si>
  <si>
    <t>Comparativo Inicio vs. cierre del período (enero vs. septiembre)</t>
  </si>
  <si>
    <t>Indicador</t>
  </si>
  <si>
    <t>Diferencia</t>
  </si>
  <si>
    <t>Variación %</t>
  </si>
  <si>
    <t>Tendencia</t>
  </si>
  <si>
    <t>▲ Sube</t>
  </si>
  <si>
    <t>▼ Baja</t>
  </si>
  <si>
    <t>Resumen de indicadores por período</t>
  </si>
  <si>
    <t>Total / global</t>
  </si>
  <si>
    <t>Promedio mensual</t>
  </si>
  <si>
    <t>Máximo</t>
  </si>
  <si>
    <t>Mes del máximo</t>
  </si>
  <si>
    <t>Mínimo</t>
  </si>
  <si>
    <t>Mes del mínimo</t>
  </si>
  <si>
    <t>Canal / origen</t>
  </si>
  <si>
    <t xml:space="preserve">TOTAL </t>
  </si>
  <si>
    <t xml:space="preserve">RAZONAMIENTOS: </t>
  </si>
  <si>
    <r>
      <rPr>
        <rFont val="Carlito"/>
        <b/>
        <sz val="11.0"/>
      </rPr>
      <t>1. Facebook / Instagram es el canal más eficiente.</t>
    </r>
    <r>
      <rPr>
        <rFont val="Carlito"/>
        <b val="0"/>
        <sz val="11.0"/>
      </rPr>
      <t xml:space="preserve"> Con apenas el 11 % de las visitas logra la mejor conversión (36 %) y el mayor ingreso por visita. Rinde mucho, pero recibe poco tráfico.</t>
    </r>
  </si>
  <si>
    <r>
      <rPr>
        <rFont val="Carlito"/>
        <b/>
        <sz val="11.0"/>
      </rPr>
      <t>2. WhatsApp es el canal menos eficiente.</t>
    </r>
    <r>
      <rPr>
        <rFont val="Carlito"/>
        <b val="0"/>
        <sz val="11.0"/>
      </rPr>
      <t xml:space="preserve"> Concentra casi un tercio de las visitas y convierte solo el 14.9 %. </t>
    </r>
  </si>
  <si>
    <r>
      <rPr>
        <rFont val="Carlito"/>
        <b/>
        <sz val="11.0"/>
      </rPr>
      <t>3. Los clientes recurrentes sostienen el negocio</t>
    </r>
    <r>
      <rPr>
        <rFont val="Carlito"/>
        <b val="0"/>
        <sz val="11.0"/>
      </rPr>
      <t>, con el mayor ingreso y el ticket más alto.</t>
    </r>
  </si>
  <si>
    <r>
      <rPr>
        <rFont val="Carlito"/>
        <sz val="11.0"/>
      </rPr>
      <t xml:space="preserve">El ticket promedio casi no varía entre canales, así que los ingresos crecen con </t>
    </r>
    <r>
      <rPr>
        <rFont val="Carlito"/>
        <b/>
        <sz val="11.0"/>
      </rPr>
      <t>más ventas</t>
    </r>
    <r>
      <rPr>
        <rFont val="Carlito"/>
        <sz val="11.0"/>
      </rPr>
      <t>, no con precios más altos.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</si>
</sst>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Q&quot;\ #,##0.00"/>
    <numFmt numFmtId="165" formatCode="0.0"/>
    <numFmt numFmtId="166" formatCode="mmm"/>
    <numFmt numFmtId="167" formatCode="\+#,##0;\-#,##0;0"/>
    <numFmt numFmtId="168" formatCode="\+0.0%;\-0.0%;0.0%"/>
    <numFmt numFmtId="169" formatCode="&quot;Q &quot;#,##0"/>
    <numFmt numFmtId="170" formatCode="&quot;+Q &quot;#,##0;&quot;-Q &quot;#,##0;&quot;Q &quot;0"/>
    <numFmt numFmtId="171" formatCode="\+0.00%;\-0.00%;0.00%"/>
    <numFmt numFmtId="172" formatCode="&quot;Q &quot;#,##0.00"/>
    <numFmt numFmtId="173" formatCode="&quot;+Q &quot;#,##0.00;&quot;-Q &quot;#,##0.00;&quot;Q &quot;0.00"/>
    <numFmt numFmtId="174" formatCode="_-[$Q-100A]* #,##0.00_-;\-[$Q-100A]* #,##0.00_-;_-[$Q-100A]* &quot;-&quot;??_-;_-@"/>
  </numFmts>
  <fonts count="13">
    <font>
      <sz val="11.0"/>
      <color rgb="FF000000"/>
      <name val="Arial"/>
      <scheme val="minor"/>
    </font>
    <font>
      <b/>
      <sz val="16.0"/>
      <color rgb="FFFFFFFF"/>
      <name val="Carlito"/>
    </font>
    <font/>
    <font>
      <i/>
      <sz val="11.0"/>
      <color rgb="FF6B7280"/>
      <name val="Carlito"/>
    </font>
    <font>
      <sz val="11.0"/>
      <name val="Carlito"/>
    </font>
    <font>
      <b/>
      <sz val="10.0"/>
      <color rgb="FF3F2A1D"/>
      <name val="Carlito"/>
    </font>
    <font>
      <b/>
      <sz val="14.0"/>
      <color rgb="FF111827"/>
      <name val="Carlito"/>
    </font>
    <font>
      <b/>
      <sz val="12.0"/>
      <name val="Arial"/>
    </font>
    <font>
      <b/>
      <sz val="11.0"/>
      <color rgb="FFFFFFFF"/>
      <name val="Carlito"/>
    </font>
    <font>
      <b/>
      <sz val="11.0"/>
      <color rgb="FFFFFFFF"/>
      <name val="Arial"/>
    </font>
    <font>
      <b/>
      <sz val="11.0"/>
      <color rgb="FF3F2A1D"/>
      <name val="Carlito"/>
    </font>
    <font>
      <sz val="11.0"/>
      <color rgb="FF333333"/>
      <name val="Carlito"/>
    </font>
    <font>
      <b/>
      <sz val="11.0"/>
      <name val="Carlito"/>
    </font>
  </fonts>
  <fills count="14">
    <fill>
      <patternFill patternType="none"/>
    </fill>
    <fill>
      <patternFill patternType="lightGray"/>
    </fill>
    <fill>
      <patternFill patternType="solid">
        <fgColor rgb="FF3F2A1D"/>
        <bgColor rgb="FF3F2A1D"/>
      </patternFill>
    </fill>
    <fill>
      <patternFill patternType="solid">
        <fgColor rgb="FFEAF2F8"/>
        <bgColor rgb="FFEAF2F8"/>
      </patternFill>
    </fill>
    <fill>
      <patternFill patternType="solid">
        <fgColor rgb="FFE8D8C4"/>
        <bgColor rgb="FFE8D8C4"/>
      </patternFill>
    </fill>
    <fill>
      <patternFill patternType="solid">
        <fgColor rgb="FFFFF8EE"/>
        <bgColor rgb="FFFFF8EE"/>
      </patternFill>
    </fill>
    <fill>
      <patternFill patternType="solid">
        <fgColor rgb="FFFFF2CC"/>
        <bgColor rgb="FFFFF2CC"/>
      </patternFill>
    </fill>
    <fill>
      <patternFill patternType="solid">
        <fgColor rgb="FF3F2A1C"/>
        <bgColor rgb="FF3F2A1C"/>
      </patternFill>
    </fill>
    <fill>
      <patternFill patternType="solid">
        <fgColor rgb="FFF7F9FA"/>
        <bgColor rgb="FFF7F9FA"/>
      </patternFill>
    </fill>
    <fill>
      <patternFill patternType="solid">
        <fgColor rgb="FFF3F4F6"/>
        <bgColor rgb="FFF3F4F6"/>
      </patternFill>
    </fill>
    <fill>
      <patternFill patternType="solid">
        <fgColor rgb="FFA6C9EB"/>
        <bgColor rgb="FFA6C9EB"/>
      </patternFill>
    </fill>
    <fill>
      <patternFill patternType="solid">
        <fgColor rgb="FF92D050"/>
        <bgColor rgb="FF92D050"/>
      </patternFill>
    </fill>
    <fill>
      <patternFill patternType="solid">
        <fgColor rgb="FFFF0000"/>
        <bgColor rgb="FFFF0000"/>
      </patternFill>
    </fill>
    <fill>
      <patternFill patternType="solid">
        <fgColor rgb="FFD8D8D8"/>
        <bgColor rgb="FFD8D8D8"/>
      </patternFill>
    </fill>
  </fills>
  <borders count="14">
    <border/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</border>
    <border>
      <right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3" fontId="3" numFmtId="0" xfId="0" applyAlignment="1" applyBorder="1" applyFill="1" applyFont="1">
      <alignment horizontal="center" shrinkToFit="0" wrapText="1"/>
    </xf>
    <xf borderId="8" fillId="0" fontId="2" numFmtId="0" xfId="0" applyBorder="1" applyFont="1"/>
    <xf borderId="9" fillId="0" fontId="2" numFmtId="0" xfId="0" applyBorder="1" applyFont="1"/>
    <xf borderId="0" fillId="0" fontId="4" numFmtId="0" xfId="0" applyAlignment="1" applyFont="1">
      <alignment shrinkToFit="0" wrapText="1"/>
    </xf>
    <xf borderId="7" fillId="4" fontId="5" numFmtId="0" xfId="0" applyAlignment="1" applyBorder="1" applyFill="1" applyFont="1">
      <alignment horizontal="center" shrinkToFit="0" vertical="center" wrapText="1"/>
    </xf>
    <xf borderId="1" fillId="5" fontId="6" numFmtId="3" xfId="0" applyAlignment="1" applyBorder="1" applyFill="1" applyFont="1" applyNumberFormat="1">
      <alignment horizontal="center" shrinkToFit="0" vertical="center" wrapText="1"/>
    </xf>
    <xf borderId="1" fillId="5" fontId="6" numFmtId="164" xfId="0" applyAlignment="1" applyBorder="1" applyFont="1" applyNumberFormat="1">
      <alignment horizontal="center" shrinkToFit="0" vertical="center" wrapText="1"/>
    </xf>
    <xf borderId="1" fillId="5" fontId="6" numFmtId="10" xfId="0" applyAlignment="1" applyBorder="1" applyFont="1" applyNumberFormat="1">
      <alignment horizontal="center" shrinkToFit="0" vertical="center" wrapText="1"/>
    </xf>
    <xf borderId="1" fillId="5" fontId="6" numFmtId="165" xfId="0" applyAlignment="1" applyBorder="1" applyFont="1" applyNumberFormat="1">
      <alignment horizontal="center" shrinkToFit="0" vertical="center" wrapText="1"/>
    </xf>
    <xf borderId="7" fillId="6" fontId="7" numFmtId="0" xfId="0" applyAlignment="1" applyBorder="1" applyFill="1" applyFont="1">
      <alignment horizontal="center" shrinkToFit="0" wrapText="1"/>
    </xf>
    <xf borderId="10" fillId="2" fontId="8" numFmtId="0" xfId="0" applyAlignment="1" applyBorder="1" applyFont="1">
      <alignment horizontal="center" shrinkToFit="0" vertical="center" wrapText="1"/>
    </xf>
    <xf borderId="10" fillId="7" fontId="9" numFmtId="0" xfId="0" applyAlignment="1" applyBorder="1" applyFill="1" applyFont="1">
      <alignment shrinkToFit="0" wrapText="1"/>
    </xf>
    <xf borderId="0" fillId="0" fontId="4" numFmtId="166" xfId="0" applyAlignment="1" applyFont="1" applyNumberFormat="1">
      <alignment shrinkToFit="0" wrapText="1"/>
    </xf>
    <xf borderId="0" fillId="0" fontId="4" numFmtId="3" xfId="0" applyAlignment="1" applyFont="1" applyNumberFormat="1">
      <alignment shrinkToFit="0" wrapText="1"/>
    </xf>
    <xf borderId="7" fillId="4" fontId="10" numFmtId="0" xfId="0" applyAlignment="1" applyBorder="1" applyFont="1">
      <alignment horizontal="center"/>
    </xf>
    <xf borderId="1" fillId="8" fontId="11" numFmtId="0" xfId="0" applyAlignment="1" applyBorder="1" applyFill="1" applyFont="1">
      <alignment shrinkToFit="0" vertical="center" wrapText="1"/>
    </xf>
    <xf borderId="11" fillId="0" fontId="2" numFmtId="0" xfId="0" applyBorder="1" applyFont="1"/>
    <xf borderId="12" fillId="0" fontId="2" numFmtId="0" xfId="0" applyBorder="1" applyFont="1"/>
    <xf borderId="10" fillId="5" fontId="4" numFmtId="17" xfId="0" applyBorder="1" applyFont="1" applyNumberFormat="1"/>
    <xf borderId="10" fillId="6" fontId="4" numFmtId="3" xfId="0" applyBorder="1" applyFont="1" applyNumberFormat="1"/>
    <xf borderId="10" fillId="0" fontId="4" numFmtId="3" xfId="0" applyAlignment="1" applyBorder="1" applyFont="1" applyNumberFormat="1">
      <alignment horizontal="left"/>
    </xf>
    <xf borderId="10" fillId="9" fontId="4" numFmtId="10" xfId="0" applyBorder="1" applyFill="1" applyFont="1" applyNumberFormat="1"/>
    <xf borderId="10" fillId="9" fontId="4" numFmtId="164" xfId="0" applyBorder="1" applyFont="1" applyNumberFormat="1"/>
    <xf borderId="0" fillId="0" fontId="4" numFmtId="0" xfId="0" applyFont="1"/>
    <xf borderId="13" fillId="10" fontId="4" numFmtId="0" xfId="0" applyBorder="1" applyFill="1" applyFont="1"/>
    <xf borderId="13" fillId="0" fontId="4" numFmtId="0" xfId="0" applyBorder="1" applyFont="1"/>
    <xf borderId="13" fillId="0" fontId="4" numFmtId="3" xfId="0" applyBorder="1" applyFont="1" applyNumberFormat="1"/>
    <xf borderId="13" fillId="0" fontId="4" numFmtId="167" xfId="0" applyBorder="1" applyFont="1" applyNumberFormat="1"/>
    <xf borderId="13" fillId="0" fontId="4" numFmtId="168" xfId="0" applyBorder="1" applyFont="1" applyNumberFormat="1"/>
    <xf borderId="13" fillId="11" fontId="4" numFmtId="0" xfId="0" applyBorder="1" applyFill="1" applyFont="1"/>
    <xf borderId="13" fillId="0" fontId="4" numFmtId="169" xfId="0" applyBorder="1" applyFont="1" applyNumberFormat="1"/>
    <xf borderId="13" fillId="0" fontId="4" numFmtId="170" xfId="0" applyBorder="1" applyFont="1" applyNumberFormat="1"/>
    <xf borderId="13" fillId="12" fontId="4" numFmtId="0" xfId="0" applyBorder="1" applyFill="1" applyFont="1"/>
    <xf borderId="13" fillId="0" fontId="4" numFmtId="10" xfId="0" applyBorder="1" applyFont="1" applyNumberFormat="1"/>
    <xf borderId="13" fillId="0" fontId="4" numFmtId="171" xfId="0" applyBorder="1" applyFont="1" applyNumberFormat="1"/>
    <xf borderId="13" fillId="0" fontId="4" numFmtId="172" xfId="0" applyBorder="1" applyFont="1" applyNumberFormat="1"/>
    <xf borderId="13" fillId="0" fontId="4" numFmtId="173" xfId="0" applyBorder="1" applyFont="1" applyNumberFormat="1"/>
    <xf borderId="13" fillId="10" fontId="12" numFmtId="0" xfId="0" applyAlignment="1" applyBorder="1" applyFont="1">
      <alignment horizontal="center"/>
    </xf>
    <xf borderId="13" fillId="13" fontId="12" numFmtId="0" xfId="0" applyAlignment="1" applyBorder="1" applyFill="1" applyFont="1">
      <alignment horizontal="center"/>
    </xf>
    <xf borderId="13" fillId="11" fontId="12" numFmtId="0" xfId="0" applyAlignment="1" applyBorder="1" applyFont="1">
      <alignment horizontal="center"/>
    </xf>
    <xf borderId="13" fillId="10" fontId="4" numFmtId="3" xfId="0" applyBorder="1" applyFont="1" applyNumberFormat="1"/>
    <xf borderId="13" fillId="13" fontId="4" numFmtId="3" xfId="0" applyBorder="1" applyFont="1" applyNumberFormat="1"/>
    <xf borderId="13" fillId="13" fontId="4" numFmtId="0" xfId="0" applyBorder="1" applyFont="1"/>
    <xf borderId="13" fillId="11" fontId="4" numFmtId="3" xfId="0" applyBorder="1" applyFont="1" applyNumberFormat="1"/>
    <xf borderId="13" fillId="10" fontId="4" numFmtId="169" xfId="0" applyBorder="1" applyFont="1" applyNumberFormat="1"/>
    <xf borderId="13" fillId="13" fontId="4" numFmtId="169" xfId="0" applyBorder="1" applyFont="1" applyNumberFormat="1"/>
    <xf borderId="13" fillId="11" fontId="4" numFmtId="169" xfId="0" applyBorder="1" applyFont="1" applyNumberFormat="1"/>
    <xf borderId="13" fillId="10" fontId="4" numFmtId="10" xfId="0" applyBorder="1" applyFont="1" applyNumberFormat="1"/>
    <xf borderId="13" fillId="13" fontId="4" numFmtId="10" xfId="0" applyBorder="1" applyFont="1" applyNumberFormat="1"/>
    <xf borderId="13" fillId="11" fontId="4" numFmtId="10" xfId="0" applyBorder="1" applyFont="1" applyNumberFormat="1"/>
    <xf borderId="13" fillId="10" fontId="4" numFmtId="172" xfId="0" applyBorder="1" applyFont="1" applyNumberFormat="1"/>
    <xf borderId="13" fillId="13" fontId="4" numFmtId="172" xfId="0" applyBorder="1" applyFont="1" applyNumberFormat="1"/>
    <xf borderId="13" fillId="11" fontId="4" numFmtId="172" xfId="0" applyBorder="1" applyFont="1" applyNumberFormat="1"/>
    <xf borderId="10" fillId="5" fontId="4" numFmtId="0" xfId="0" applyBorder="1" applyFont="1"/>
    <xf borderId="10" fillId="5" fontId="4" numFmtId="3" xfId="0" applyBorder="1" applyFont="1" applyNumberFormat="1"/>
    <xf borderId="10" fillId="5" fontId="4" numFmtId="164" xfId="0" applyBorder="1" applyFont="1" applyNumberFormat="1"/>
    <xf borderId="0" fillId="0" fontId="4" numFmtId="10" xfId="0" applyFont="1" applyNumberFormat="1"/>
    <xf borderId="0" fillId="0" fontId="4" numFmtId="3" xfId="0" applyFont="1" applyNumberFormat="1"/>
    <xf borderId="0" fillId="0" fontId="4" numFmtId="174" xfId="0" applyFont="1" applyNumberFormat="1"/>
    <xf borderId="10" fillId="5" fontId="4" numFmtId="9" xfId="0" applyBorder="1" applyFont="1" applyNumberFormat="1"/>
    <xf borderId="0" fillId="0" fontId="4" numFmtId="9" xfId="0" applyFont="1" applyNumberFormat="1"/>
    <xf borderId="0" fillId="0" fontId="12" numFmtId="0" xfId="0" applyFont="1"/>
    <xf borderId="0" fillId="0" fontId="12" numFmtId="0" xfId="0" applyAlignment="1" applyFont="1">
      <alignment horizontal="left" vertical="center"/>
    </xf>
    <xf borderId="0" fillId="0" fontId="4" numFmtId="0" xfId="0" applyAlignment="1" applyFon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externalLink" Target="externalLinks/externalLink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Visitas, ventas y clics por mes</a:t>
            </a:r>
          </a:p>
        </c:rich>
      </c:tx>
      <c:overlay val="0"/>
    </c:title>
    <c:plotArea>
      <c:layout/>
      <c:lineChart>
        <c:ser>
          <c:idx val="0"/>
          <c:order val="0"/>
          <c:tx>
            <c:v>Visitas</c:v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Dashboard!$A$15:$A$23</c:f>
            </c:strRef>
          </c:cat>
          <c:val>
            <c:numRef>
              <c:f>Dashboard!$B$15:$B$23</c:f>
              <c:numCache/>
            </c:numRef>
          </c:val>
          <c:smooth val="1"/>
        </c:ser>
        <c:ser>
          <c:idx val="1"/>
          <c:order val="1"/>
          <c:tx>
            <c:v>Ventas</c:v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Dashboard!$A$15:$A$23</c:f>
            </c:strRef>
          </c:cat>
          <c:val>
            <c:numRef>
              <c:f>Dashboard!$C$15:$C$23</c:f>
              <c:numCache/>
            </c:numRef>
          </c:val>
          <c:smooth val="1"/>
        </c:ser>
        <c:ser>
          <c:idx val="2"/>
          <c:order val="2"/>
          <c:tx>
            <c:v>Clics</c:v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Dashboard!$A$15:$A$23</c:f>
            </c:strRef>
          </c:cat>
          <c:val>
            <c:numRef>
              <c:f>Dashboard!$D$15:$D$23</c:f>
              <c:numCache/>
            </c:numRef>
          </c:val>
          <c:smooth val="1"/>
        </c:ser>
        <c:axId val="1370404097"/>
        <c:axId val="839804530"/>
      </c:lineChart>
      <c:catAx>
        <c:axId val="13704040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9804530"/>
      </c:catAx>
      <c:valAx>
        <c:axId val="8398045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0404097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Ventas por canal / origen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Ventas</c:v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cat>
            <c:strRef>
              <c:f>Dashboard!$H$15:$H$19</c:f>
            </c:strRef>
          </c:cat>
          <c:val>
            <c:numRef>
              <c:f>Dashboard!$I$15:$I$19</c:f>
              <c:numCache/>
            </c:numRef>
          </c:val>
        </c:ser>
        <c:axId val="712463752"/>
        <c:axId val="15874257"/>
      </c:barChart>
      <c:catAx>
        <c:axId val="7124637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74257"/>
      </c:catAx>
      <c:valAx>
        <c:axId val="158742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2463752"/>
      </c:valAx>
    </c:plotArea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24</xdr:row>
      <xdr:rowOff>0</xdr:rowOff>
    </xdr:from>
    <xdr:ext cx="5334000" cy="3086100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6</xdr:col>
      <xdr:colOff>0</xdr:colOff>
      <xdr:row>24</xdr:row>
      <xdr:rowOff>0</xdr:rowOff>
    </xdr:from>
    <xdr:ext cx="5867400" cy="3086100"/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Cuadro_Comparativo_Ene-Sep_2026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Datos"/>
      <sheetName val="Comparativo"/>
      <sheetName val="Gráficas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3" width="12.0"/>
    <col customWidth="1" min="4" max="4" width="16.0"/>
    <col customWidth="1" min="5" max="6" width="12.0"/>
    <col customWidth="1" min="7" max="7" width="16.0"/>
    <col customWidth="1" min="8" max="8" width="18.0"/>
    <col customWidth="1" min="9" max="9" width="12.0"/>
    <col customWidth="1" min="10" max="10" width="18.0"/>
    <col customWidth="1" min="11" max="12" width="12.0"/>
    <col customWidth="1" min="13" max="13" width="8.86"/>
  </cols>
  <sheetData>
    <row r="1" ht="13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3.5" customHeight="1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 ht="13.5" customHeight="1">
      <c r="A3" s="7" t="s">
        <v>1</v>
      </c>
      <c r="B3" s="8"/>
      <c r="C3" s="8"/>
      <c r="D3" s="8"/>
      <c r="E3" s="8"/>
      <c r="F3" s="8"/>
      <c r="G3" s="8"/>
      <c r="H3" s="8"/>
      <c r="I3" s="8"/>
      <c r="J3" s="8"/>
      <c r="K3" s="8"/>
      <c r="L3" s="9"/>
    </row>
    <row r="4" ht="13.5" customHeight="1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3.5" customHeight="1">
      <c r="A5" s="11" t="s">
        <v>2</v>
      </c>
      <c r="B5" s="8"/>
      <c r="C5" s="9"/>
      <c r="D5" s="11" t="s">
        <v>3</v>
      </c>
      <c r="E5" s="8"/>
      <c r="F5" s="9"/>
      <c r="G5" s="11" t="s">
        <v>4</v>
      </c>
      <c r="H5" s="8"/>
      <c r="I5" s="9"/>
      <c r="J5" s="11" t="s">
        <v>5</v>
      </c>
      <c r="K5" s="8"/>
      <c r="L5" s="9"/>
    </row>
    <row r="6" ht="13.5" customHeight="1">
      <c r="A6" s="12" t="str">
        <f t="array" ref="A6">IF(COUNT(INDEX(Datos_Mensuales!$B$2:$B$10,MATCH($H$12,Datos_Mensuales!$A$2:$A$10,0)))=0,"",INDEX(Datos_Mensuales!$B$2:$B$10,MATCH($H$12,Datos_Mensuales!$A$2:$A$10,0)))</f>
        <v>2,800</v>
      </c>
      <c r="B6" s="2"/>
      <c r="C6" s="3"/>
      <c r="D6" s="12" t="str">
        <f t="array" ref="D6">IF(COUNT(INDEX(Datos_Mensuales!$C$2:$C$10,MATCH($H$12,Datos_Mensuales!$A$2:$A$10,0)))=0,"",INDEX(Datos_Mensuales!$C$2:$C$10,MATCH($H$12,Datos_Mensuales!$A$2:$A$10,0)))</f>
        <v>950</v>
      </c>
      <c r="E6" s="2"/>
      <c r="F6" s="3"/>
      <c r="G6" s="12" t="str">
        <f t="array" ref="G6">IF(COUNT(INDEX(Datos_Mensuales!$D$2:$D$10,MATCH($H$12,Datos_Mensuales!$A$2:$A$10,0)))=0,"",INDEX(Datos_Mensuales!$D$2:$D$10,MATCH($H$12,Datos_Mensuales!$A$2:$A$10,0)))</f>
        <v>980</v>
      </c>
      <c r="H6" s="2"/>
      <c r="I6" s="3"/>
      <c r="J6" s="13" t="str">
        <f t="array" ref="J6">IF(COUNT(INDEX(Datos_Mensuales!$E$2:$E$10,MATCH($H$12,Datos_Mensuales!$A$2:$A$10,0)))=0,"",INDEX(Datos_Mensuales!$E$2:$E$10,MATCH($H$12,Datos_Mensuales!$A$2:$A$10,0)))</f>
        <v>Q 18,000.00</v>
      </c>
      <c r="K6" s="2"/>
      <c r="L6" s="3"/>
    </row>
    <row r="7" ht="13.5" customHeight="1">
      <c r="A7" s="4"/>
      <c r="B7" s="5"/>
      <c r="C7" s="6"/>
      <c r="D7" s="4"/>
      <c r="E7" s="5"/>
      <c r="F7" s="6"/>
      <c r="G7" s="4"/>
      <c r="H7" s="5"/>
      <c r="I7" s="6"/>
      <c r="J7" s="4"/>
      <c r="K7" s="5"/>
      <c r="L7" s="6"/>
    </row>
    <row r="8" ht="13.5" customHeight="1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</row>
    <row r="9" ht="13.5" customHeight="1">
      <c r="A9" s="11" t="s">
        <v>6</v>
      </c>
      <c r="B9" s="8"/>
      <c r="C9" s="9"/>
      <c r="D9" s="11" t="s">
        <v>7</v>
      </c>
      <c r="E9" s="8"/>
      <c r="F9" s="9"/>
      <c r="G9" s="11" t="s">
        <v>8</v>
      </c>
      <c r="H9" s="8"/>
      <c r="I9" s="9"/>
      <c r="J9" s="11" t="s">
        <v>9</v>
      </c>
      <c r="K9" s="8"/>
      <c r="L9" s="9"/>
    </row>
    <row r="10" ht="13.5" customHeight="1">
      <c r="A10" s="14" t="str">
        <f t="array" ref="A10">IF(COUNT(INDEX(Datos_Mensuales!$G$2:$G$10,MATCH($H$12,Datos_Mensuales!$A$2:$A$10,0)))=0,"",INDEX(Datos_Mensuales!$G$2:$G$10,MATCH($H$12,Datos_Mensuales!$A$2:$A$10,0)))</f>
        <v>35.00%</v>
      </c>
      <c r="B10" s="2"/>
      <c r="C10" s="3"/>
      <c r="D10" s="13" t="str">
        <f t="array" ref="D10">IF(COUNT(INDEX(Datos_Mensuales!$H$2:$H$10,MATCH($H$12,Datos_Mensuales!$A$2:$A$10,0)))=0,"",INDEX(Datos_Mensuales!$H$2:$H$10,MATCH($H$12,Datos_Mensuales!$A$2:$A$10,0)))</f>
        <v>Q 18.37</v>
      </c>
      <c r="E10" s="2"/>
      <c r="F10" s="3"/>
      <c r="G10" s="12" t="str">
        <f t="array" ref="G10">IF(COUNT(INDEX(Datos_Mensuales!$F$2:$F$10,MATCH($H$12,Datos_Mensuales!$A$2:$A$10,0)))=0,"",INDEX(Datos_Mensuales!$F$2:$F$10,MATCH($H$12,Datos_Mensuales!$A$2:$A$10,0)))</f>
        <v>225</v>
      </c>
      <c r="H10" s="2"/>
      <c r="I10" s="3"/>
      <c r="J10" s="15" t="str">
        <f>IF(OR(A6="",G6="",A6=0),"",G6/A6*1000)</f>
        <v>350.0</v>
      </c>
      <c r="K10" s="2"/>
      <c r="L10" s="3"/>
    </row>
    <row r="11" ht="13.5" customHeight="1">
      <c r="A11" s="4"/>
      <c r="B11" s="5"/>
      <c r="C11" s="6"/>
      <c r="D11" s="4"/>
      <c r="E11" s="5"/>
      <c r="F11" s="6"/>
      <c r="G11" s="4"/>
      <c r="H11" s="5"/>
      <c r="I11" s="6"/>
      <c r="J11" s="4"/>
      <c r="K11" s="5"/>
      <c r="L11" s="6"/>
    </row>
    <row r="12" ht="13.5" customHeight="1">
      <c r="A12" s="10"/>
      <c r="B12" s="10"/>
      <c r="C12" s="10"/>
      <c r="D12" s="10"/>
      <c r="E12" s="10"/>
      <c r="F12" s="10" t="s">
        <v>10</v>
      </c>
      <c r="H12" s="16" t="s">
        <v>11</v>
      </c>
      <c r="I12" s="8"/>
      <c r="J12" s="9"/>
      <c r="K12" s="10"/>
      <c r="L12" s="10"/>
    </row>
    <row r="13" ht="13.5" customHeight="1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3.5" customHeight="1">
      <c r="A14" s="17" t="s">
        <v>12</v>
      </c>
      <c r="B14" s="17" t="s">
        <v>13</v>
      </c>
      <c r="C14" s="17" t="s">
        <v>14</v>
      </c>
      <c r="D14" s="18" t="s">
        <v>15</v>
      </c>
      <c r="E14" s="10"/>
      <c r="F14" s="10"/>
      <c r="G14" s="10"/>
      <c r="H14" s="17" t="s">
        <v>16</v>
      </c>
      <c r="I14" s="17" t="s">
        <v>14</v>
      </c>
      <c r="J14" s="10"/>
      <c r="K14" s="10"/>
      <c r="L14" s="10"/>
    </row>
    <row r="15" ht="13.5" customHeight="1">
      <c r="A15" s="19" t="str">
        <f>Datos_Mensuales!A2</f>
        <v>Enero</v>
      </c>
      <c r="B15" s="20" t="str">
        <f>IF(Datos_Mensuales!B2="","",Datos_Mensuales!B2)</f>
        <v>2,800</v>
      </c>
      <c r="C15" s="20" t="str">
        <f>IF(Datos_Mensuales!D2="","",Datos_Mensuales!D2)</f>
        <v>980</v>
      </c>
      <c r="D15" s="20" t="str">
        <f>IF(Datos_Mensuales!C2="","",Datos_Mensuales!C2)</f>
        <v>950</v>
      </c>
      <c r="E15" s="10"/>
      <c r="F15" s="10"/>
      <c r="G15" s="10"/>
      <c r="H15" s="10" t="s">
        <v>17</v>
      </c>
      <c r="I15" s="20">
        <v>1260.0</v>
      </c>
      <c r="J15" s="10"/>
      <c r="K15" s="10"/>
      <c r="L15" s="10"/>
    </row>
    <row r="16" ht="13.5" customHeight="1">
      <c r="A16" s="19" t="str">
        <f>Datos_Mensuales!A3</f>
        <v>Febrero</v>
      </c>
      <c r="B16" s="20" t="str">
        <f>IF(Datos_Mensuales!B3="","",Datos_Mensuales!B3)</f>
        <v>3,050</v>
      </c>
      <c r="C16" s="20" t="str">
        <f>IF(Datos_Mensuales!D3="","",Datos_Mensuales!D3)</f>
        <v>1,045</v>
      </c>
      <c r="D16" s="20" t="str">
        <f>IF(Datos_Mensuales!C3="","",Datos_Mensuales!C3)</f>
        <v>1,020</v>
      </c>
      <c r="E16" s="10"/>
      <c r="F16" s="10"/>
      <c r="G16" s="10"/>
      <c r="H16" s="10" t="s">
        <v>18</v>
      </c>
      <c r="I16" s="20">
        <v>1115.0</v>
      </c>
      <c r="J16" s="10"/>
      <c r="K16" s="10"/>
      <c r="L16" s="10"/>
    </row>
    <row r="17" ht="13.5" customHeight="1">
      <c r="A17" s="19" t="str">
        <f>Datos_Mensuales!A4</f>
        <v>Marzo</v>
      </c>
      <c r="B17" s="20" t="str">
        <f>IF(Datos_Mensuales!B4="","",Datos_Mensuales!B4)</f>
        <v>3,400</v>
      </c>
      <c r="C17" s="20" t="str">
        <f>IF(Datos_Mensuales!D4="","",Datos_Mensuales!D4)</f>
        <v>1,190</v>
      </c>
      <c r="D17" s="20" t="str">
        <f>IF(Datos_Mensuales!C4="","",Datos_Mensuales!C4)</f>
        <v>1,180</v>
      </c>
      <c r="E17" s="10"/>
      <c r="F17" s="10"/>
      <c r="G17" s="10"/>
      <c r="H17" s="10" t="s">
        <v>19</v>
      </c>
      <c r="I17" s="20">
        <v>1460.0</v>
      </c>
      <c r="J17" s="10"/>
      <c r="K17" s="10"/>
      <c r="L17" s="10"/>
    </row>
    <row r="18" ht="13.5" customHeight="1">
      <c r="A18" s="19" t="str">
        <f>Datos_Mensuales!A5</f>
        <v>Abril</v>
      </c>
      <c r="B18" s="20" t="str">
        <f>IF(Datos_Mensuales!B5="","",Datos_Mensuales!B5)</f>
        <v>3,250</v>
      </c>
      <c r="C18" s="20" t="str">
        <f>IF(Datos_Mensuales!D5="","",Datos_Mensuales!D5)</f>
        <v>1,115</v>
      </c>
      <c r="D18" s="20" t="str">
        <f>IF(Datos_Mensuales!C5="","",Datos_Mensuales!C5)</f>
        <v>1,120</v>
      </c>
      <c r="E18" s="10"/>
      <c r="F18" s="10"/>
      <c r="G18" s="10"/>
      <c r="H18" s="10" t="s">
        <v>20</v>
      </c>
      <c r="I18" s="20">
        <v>1705.0</v>
      </c>
      <c r="J18" s="10"/>
      <c r="K18" s="10"/>
      <c r="L18" s="10"/>
    </row>
    <row r="19" ht="13.5" customHeight="1">
      <c r="A19" s="19" t="str">
        <f>Datos_Mensuales!A6</f>
        <v>Mayo</v>
      </c>
      <c r="B19" s="20" t="str">
        <f>IF(Datos_Mensuales!B6="","",Datos_Mensuales!B6)</f>
        <v>3,750</v>
      </c>
      <c r="C19" s="20" t="str">
        <f>IF(Datos_Mensuales!D6="","",Datos_Mensuales!D6)</f>
        <v>1,280</v>
      </c>
      <c r="D19" s="20" t="str">
        <f>IF(Datos_Mensuales!C6="","",Datos_Mensuales!C6)</f>
        <v>1,320</v>
      </c>
      <c r="E19" s="10"/>
      <c r="F19" s="10"/>
      <c r="G19" s="10"/>
      <c r="H19" s="10" t="s">
        <v>21</v>
      </c>
      <c r="I19" s="20">
        <v>935.0</v>
      </c>
      <c r="J19" s="10"/>
      <c r="K19" s="10"/>
      <c r="L19" s="10"/>
    </row>
    <row r="20" ht="13.5" customHeight="1">
      <c r="A20" s="19" t="str">
        <f>Datos_Mensuales!A7</f>
        <v>Junio</v>
      </c>
      <c r="B20" s="20" t="str">
        <f>IF(Datos_Mensuales!B7="","",Datos_Mensuales!B7)</f>
        <v>4,100</v>
      </c>
      <c r="C20" s="20" t="str">
        <f>IF(Datos_Mensuales!D7="","",Datos_Mensuales!D7)</f>
        <v>1,390</v>
      </c>
      <c r="D20" s="20" t="str">
        <f>IF(Datos_Mensuales!C7="","",Datos_Mensuales!C7)</f>
        <v>1,450</v>
      </c>
      <c r="E20" s="10"/>
      <c r="F20" s="10"/>
      <c r="G20" s="10"/>
      <c r="H20" s="10"/>
      <c r="I20" s="10"/>
      <c r="J20" s="10"/>
      <c r="K20" s="10"/>
      <c r="L20" s="10"/>
    </row>
    <row r="21" ht="13.5" customHeight="1">
      <c r="A21" s="19" t="str">
        <f>Datos_Mensuales!A8</f>
        <v>Julio</v>
      </c>
      <c r="B21" s="20" t="str">
        <f>IF(Datos_Mensuales!B8="","",Datos_Mensuales!B8)</f>
        <v>4,350</v>
      </c>
      <c r="C21" s="20" t="str">
        <f>IF(Datos_Mensuales!D8="","",Datos_Mensuales!D8)</f>
        <v>1,465</v>
      </c>
      <c r="D21" s="20" t="str">
        <f>IF(Datos_Mensuales!C8="","",Datos_Mensuales!C8)</f>
        <v>1,510</v>
      </c>
      <c r="E21" s="10"/>
      <c r="F21" s="10"/>
      <c r="G21" s="10"/>
      <c r="H21" s="10"/>
      <c r="I21" s="10"/>
      <c r="J21" s="10"/>
      <c r="K21" s="10"/>
      <c r="L21" s="10"/>
    </row>
    <row r="22" ht="13.5" customHeight="1">
      <c r="A22" s="19" t="str">
        <f>Datos_Mensuales!A9</f>
        <v>Agosto</v>
      </c>
      <c r="B22" s="20" t="str">
        <f>IF(Datos_Mensuales!B9="","",Datos_Mensuales!B9)</f>
        <v>4,700</v>
      </c>
      <c r="C22" s="20" t="str">
        <f>IF(Datos_Mensuales!D9="","",Datos_Mensuales!D9)</f>
        <v>1,580</v>
      </c>
      <c r="D22" s="20" t="str">
        <f>IF(Datos_Mensuales!C9="","",Datos_Mensuales!C9)</f>
        <v>1,660</v>
      </c>
      <c r="E22" s="10"/>
      <c r="F22" s="10"/>
      <c r="G22" s="10"/>
      <c r="H22" s="10"/>
      <c r="I22" s="10"/>
      <c r="J22" s="10"/>
      <c r="K22" s="10"/>
      <c r="L22" s="10"/>
    </row>
    <row r="23" ht="13.5" customHeight="1">
      <c r="A23" s="19" t="str">
        <f>Datos_Mensuales!A10</f>
        <v>Septiembre</v>
      </c>
      <c r="B23" s="20" t="str">
        <f>IF(Datos_Mensuales!B10="","",Datos_Mensuales!B10)</f>
        <v>5,150</v>
      </c>
      <c r="C23" s="20" t="str">
        <f>IF(Datos_Mensuales!D10="","",Datos_Mensuales!D10)</f>
        <v>1,725</v>
      </c>
      <c r="D23" s="20" t="str">
        <f>IF(Datos_Mensuales!C10="","",Datos_Mensuales!C10)</f>
        <v>1,840</v>
      </c>
      <c r="E23" s="10"/>
      <c r="F23" s="10"/>
      <c r="G23" s="10"/>
      <c r="H23" s="10"/>
      <c r="I23" s="10"/>
      <c r="J23" s="10"/>
      <c r="K23" s="10"/>
      <c r="L23" s="10"/>
    </row>
    <row r="24" ht="13.5" customHeight="1">
      <c r="E24" s="10"/>
      <c r="F24" s="10"/>
      <c r="G24" s="10"/>
      <c r="H24" s="10"/>
      <c r="I24" s="10"/>
      <c r="J24" s="10"/>
      <c r="K24" s="10"/>
      <c r="L24" s="10"/>
    </row>
    <row r="25" ht="13.5" customHeight="1">
      <c r="E25" s="10"/>
      <c r="F25" s="10"/>
      <c r="G25" s="10"/>
      <c r="H25" s="10"/>
      <c r="I25" s="10"/>
      <c r="J25" s="10"/>
      <c r="K25" s="10"/>
      <c r="L25" s="10"/>
    </row>
    <row r="26" ht="13.5" customHeight="1">
      <c r="E26" s="10"/>
      <c r="F26" s="10"/>
      <c r="G26" s="10"/>
      <c r="H26" s="10"/>
      <c r="I26" s="10"/>
      <c r="J26" s="10"/>
      <c r="K26" s="10"/>
      <c r="L26" s="10"/>
    </row>
    <row r="27" ht="13.5" customHeight="1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</row>
    <row r="28" ht="13.5" customHeight="1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</row>
    <row r="29" ht="13.5" customHeight="1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</row>
    <row r="30" ht="13.5" customHeight="1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</row>
    <row r="31" ht="13.5" customHeight="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</row>
    <row r="32" ht="13.5" customHeight="1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</row>
    <row r="33" ht="13.5" customHeight="1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</row>
    <row r="34" ht="13.5" customHeight="1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</row>
    <row r="35" ht="13.5" customHeight="1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</row>
    <row r="36" ht="13.5" customHeight="1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</row>
    <row r="37" ht="13.5" customHeight="1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</row>
    <row r="38" ht="13.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</row>
    <row r="39" ht="13.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</row>
    <row r="40" ht="13.5" customHeight="1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</row>
    <row r="41" ht="13.5" customHeight="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</row>
    <row r="42" ht="13.5" customHeight="1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</row>
    <row r="43" ht="13.5" customHeight="1"/>
    <row r="44" ht="13.5" customHeight="1">
      <c r="A44" s="21" t="s">
        <v>22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9"/>
    </row>
    <row r="45" ht="13.5" customHeight="1">
      <c r="A45" s="22" t="s">
        <v>23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3"/>
    </row>
    <row r="46" ht="13.5" customHeight="1">
      <c r="A46" s="23"/>
      <c r="L46" s="24"/>
    </row>
    <row r="47" ht="13.5" customHeight="1">
      <c r="A47" s="23"/>
      <c r="L47" s="24"/>
    </row>
    <row r="48" ht="13.5" customHeight="1">
      <c r="A48" s="4"/>
      <c r="B48" s="5"/>
      <c r="C48" s="5"/>
      <c r="D48" s="5"/>
      <c r="E48" s="5"/>
      <c r="F48" s="5"/>
      <c r="G48" s="5"/>
      <c r="H48" s="5"/>
      <c r="I48" s="5"/>
      <c r="J48" s="5"/>
      <c r="K48" s="5"/>
      <c r="L48" s="6"/>
    </row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</sheetData>
  <mergeCells count="22">
    <mergeCell ref="A9:C9"/>
    <mergeCell ref="D9:F9"/>
    <mergeCell ref="J10:L11"/>
    <mergeCell ref="A44:L44"/>
    <mergeCell ref="A45:L48"/>
    <mergeCell ref="F12:G12"/>
    <mergeCell ref="H12:J12"/>
    <mergeCell ref="A10:C11"/>
    <mergeCell ref="D10:F11"/>
    <mergeCell ref="G10:I11"/>
    <mergeCell ref="D5:F5"/>
    <mergeCell ref="G5:I5"/>
    <mergeCell ref="A5:C5"/>
    <mergeCell ref="J5:L5"/>
    <mergeCell ref="J9:L9"/>
    <mergeCell ref="G9:I9"/>
    <mergeCell ref="A1:L2"/>
    <mergeCell ref="A3:L3"/>
    <mergeCell ref="A6:C7"/>
    <mergeCell ref="D6:F7"/>
    <mergeCell ref="G6:I7"/>
    <mergeCell ref="J6:L7"/>
  </mergeCells>
  <dataValidations>
    <dataValidation type="list" allowBlank="1" sqref="H12">
      <formula1>"Enero,Febrero,Marzo,Abril,Mayo,Junio,Julio,Agosto,Septiembre"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5.86"/>
    <col customWidth="1" min="2" max="2" width="14.57"/>
    <col customWidth="1" min="3" max="3" width="16.0"/>
    <col customWidth="1" min="4" max="4" width="12.14"/>
    <col customWidth="1" min="5" max="5" width="13.43"/>
    <col customWidth="1" min="6" max="6" width="12.43"/>
    <col customWidth="1" min="7" max="7" width="15.0"/>
    <col customWidth="1" min="8" max="8" width="23.0"/>
    <col customWidth="1" min="9" max="11" width="8.86"/>
  </cols>
  <sheetData>
    <row r="1" ht="28.5" customHeight="1">
      <c r="A1" s="17" t="s">
        <v>12</v>
      </c>
      <c r="B1" s="17" t="s">
        <v>24</v>
      </c>
      <c r="C1" s="17" t="s">
        <v>25</v>
      </c>
      <c r="D1" s="17" t="s">
        <v>26</v>
      </c>
      <c r="E1" s="17" t="s">
        <v>27</v>
      </c>
      <c r="F1" s="17" t="s">
        <v>28</v>
      </c>
      <c r="G1" s="17" t="s">
        <v>29</v>
      </c>
      <c r="H1" s="17" t="s">
        <v>30</v>
      </c>
    </row>
    <row r="2" ht="12.0" customHeight="1">
      <c r="A2" s="25" t="s">
        <v>11</v>
      </c>
      <c r="B2" s="26">
        <v>2800.0</v>
      </c>
      <c r="C2" s="26">
        <v>950.0</v>
      </c>
      <c r="D2" s="26">
        <v>980.0</v>
      </c>
      <c r="E2" s="27">
        <v>18000.0</v>
      </c>
      <c r="F2" s="26">
        <v>225.0</v>
      </c>
      <c r="G2" s="28" t="str">
        <f t="shared" ref="G2:G10" si="1">IF(OR(B2="",D2="",B2=0),"",D2/B2)</f>
        <v>35.00%</v>
      </c>
      <c r="H2" s="29" t="str">
        <f t="shared" ref="H2:H10" si="2">IF(OR(E2="",D2="",D2=0),"",E2/D2)</f>
        <v>Q 18.37</v>
      </c>
    </row>
    <row r="3" ht="12.0" customHeight="1">
      <c r="A3" s="25" t="s">
        <v>31</v>
      </c>
      <c r="B3" s="26">
        <v>3050.0</v>
      </c>
      <c r="C3" s="26">
        <v>1020.0</v>
      </c>
      <c r="D3" s="26">
        <v>1045.0</v>
      </c>
      <c r="E3" s="27">
        <v>18000.0</v>
      </c>
      <c r="F3" s="26">
        <v>225.0</v>
      </c>
      <c r="G3" s="28" t="str">
        <f t="shared" si="1"/>
        <v>34.26%</v>
      </c>
      <c r="H3" s="29" t="str">
        <f t="shared" si="2"/>
        <v>Q 17.22</v>
      </c>
    </row>
    <row r="4" ht="12.0" customHeight="1">
      <c r="A4" s="25" t="s">
        <v>32</v>
      </c>
      <c r="B4" s="26">
        <v>3400.0</v>
      </c>
      <c r="C4" s="26">
        <v>1180.0</v>
      </c>
      <c r="D4" s="26">
        <v>1190.0</v>
      </c>
      <c r="E4" s="27">
        <v>18000.0</v>
      </c>
      <c r="F4" s="26">
        <v>225.0</v>
      </c>
      <c r="G4" s="28" t="str">
        <f t="shared" si="1"/>
        <v>35.00%</v>
      </c>
      <c r="H4" s="29" t="str">
        <f t="shared" si="2"/>
        <v>Q 15.13</v>
      </c>
    </row>
    <row r="5" ht="12.0" customHeight="1">
      <c r="A5" s="25" t="s">
        <v>33</v>
      </c>
      <c r="B5" s="26">
        <v>3250.0</v>
      </c>
      <c r="C5" s="26">
        <v>1120.0</v>
      </c>
      <c r="D5" s="26">
        <v>1115.0</v>
      </c>
      <c r="E5" s="27">
        <v>12000.0</v>
      </c>
      <c r="F5" s="26">
        <v>238.0</v>
      </c>
      <c r="G5" s="28" t="str">
        <f t="shared" si="1"/>
        <v>34.31%</v>
      </c>
      <c r="H5" s="29" t="str">
        <f t="shared" si="2"/>
        <v>Q 10.76</v>
      </c>
    </row>
    <row r="6" ht="12.0" customHeight="1">
      <c r="A6" s="25" t="s">
        <v>34</v>
      </c>
      <c r="B6" s="26">
        <v>3750.0</v>
      </c>
      <c r="C6" s="26">
        <v>1320.0</v>
      </c>
      <c r="D6" s="26">
        <v>1280.0</v>
      </c>
      <c r="E6" s="27">
        <v>13000.0</v>
      </c>
      <c r="F6" s="26">
        <v>275.0</v>
      </c>
      <c r="G6" s="28" t="str">
        <f t="shared" si="1"/>
        <v>34.13%</v>
      </c>
      <c r="H6" s="29" t="str">
        <f t="shared" si="2"/>
        <v>Q 10.16</v>
      </c>
    </row>
    <row r="7" ht="12.0" customHeight="1">
      <c r="A7" s="25" t="s">
        <v>35</v>
      </c>
      <c r="B7" s="26">
        <v>4100.0</v>
      </c>
      <c r="C7" s="26">
        <v>1450.0</v>
      </c>
      <c r="D7" s="26">
        <v>1390.0</v>
      </c>
      <c r="E7" s="27">
        <v>15000.0</v>
      </c>
      <c r="F7" s="26">
        <v>238.0</v>
      </c>
      <c r="G7" s="28" t="str">
        <f t="shared" si="1"/>
        <v>33.90%</v>
      </c>
      <c r="H7" s="29" t="str">
        <f t="shared" si="2"/>
        <v>Q 10.79</v>
      </c>
    </row>
    <row r="8" ht="12.0" customHeight="1">
      <c r="A8" s="25" t="s">
        <v>36</v>
      </c>
      <c r="B8" s="26">
        <v>4350.0</v>
      </c>
      <c r="C8" s="26">
        <v>1510.0</v>
      </c>
      <c r="D8" s="26">
        <v>1465.0</v>
      </c>
      <c r="E8" s="27">
        <v>15000.0</v>
      </c>
      <c r="F8" s="26">
        <v>312.0</v>
      </c>
      <c r="G8" s="28" t="str">
        <f t="shared" si="1"/>
        <v>33.68%</v>
      </c>
      <c r="H8" s="29" t="str">
        <f t="shared" si="2"/>
        <v>Q 10.24</v>
      </c>
    </row>
    <row r="9" ht="12.0" customHeight="1">
      <c r="A9" s="25" t="s">
        <v>37</v>
      </c>
      <c r="B9" s="26">
        <v>4700.0</v>
      </c>
      <c r="C9" s="26">
        <v>1660.0</v>
      </c>
      <c r="D9" s="26">
        <v>1580.0</v>
      </c>
      <c r="E9" s="27">
        <v>15000.0</v>
      </c>
      <c r="F9" s="26">
        <v>238.0</v>
      </c>
      <c r="G9" s="28" t="str">
        <f t="shared" si="1"/>
        <v>33.62%</v>
      </c>
      <c r="H9" s="29" t="str">
        <f t="shared" si="2"/>
        <v>Q 9.49</v>
      </c>
    </row>
    <row r="10" ht="12.0" customHeight="1">
      <c r="A10" s="25" t="s">
        <v>38</v>
      </c>
      <c r="B10" s="26">
        <v>5150.0</v>
      </c>
      <c r="C10" s="26">
        <v>1840.0</v>
      </c>
      <c r="D10" s="26">
        <v>1725.0</v>
      </c>
      <c r="E10" s="27">
        <v>12000.0</v>
      </c>
      <c r="F10" s="26">
        <v>238.0</v>
      </c>
      <c r="G10" s="28" t="str">
        <f t="shared" si="1"/>
        <v>33.50%</v>
      </c>
      <c r="H10" s="29" t="str">
        <f t="shared" si="2"/>
        <v>Q 6.96</v>
      </c>
    </row>
    <row r="11" ht="12.0" customHeight="1"/>
    <row r="12" ht="12.0" customHeight="1">
      <c r="A12" s="30" t="s">
        <v>39</v>
      </c>
    </row>
    <row r="13" ht="12.0" customHeight="1">
      <c r="A13" s="30" t="s">
        <v>40</v>
      </c>
    </row>
    <row r="14" ht="13.5" customHeight="1"/>
    <row r="15" ht="13.5" customHeight="1">
      <c r="A15" s="30" t="s">
        <v>41</v>
      </c>
    </row>
    <row r="16" ht="13.5" customHeight="1">
      <c r="A16" s="31" t="s">
        <v>42</v>
      </c>
      <c r="B16" s="31" t="s">
        <v>11</v>
      </c>
      <c r="C16" s="31" t="s">
        <v>38</v>
      </c>
      <c r="D16" s="31" t="s">
        <v>43</v>
      </c>
      <c r="E16" s="31" t="s">
        <v>44</v>
      </c>
      <c r="F16" s="31" t="s">
        <v>45</v>
      </c>
      <c r="G16" s="30"/>
      <c r="H16" s="30"/>
    </row>
    <row r="17" ht="13.5" customHeight="1">
      <c r="A17" s="32" t="s">
        <v>24</v>
      </c>
      <c r="B17" s="33">
        <v>2800.0</v>
      </c>
      <c r="C17" s="33">
        <v>5150.0</v>
      </c>
      <c r="D17" s="34">
        <v>2350.0</v>
      </c>
      <c r="E17" s="35">
        <v>0.8392857142857142</v>
      </c>
      <c r="F17" s="36" t="s">
        <v>46</v>
      </c>
    </row>
    <row r="18" ht="13.5" customHeight="1">
      <c r="A18" s="32" t="s">
        <v>25</v>
      </c>
      <c r="B18" s="33">
        <v>950.0</v>
      </c>
      <c r="C18" s="33">
        <v>1840.0</v>
      </c>
      <c r="D18" s="34">
        <v>890.0</v>
      </c>
      <c r="E18" s="35">
        <v>0.9368421052631579</v>
      </c>
      <c r="F18" s="36" t="s">
        <v>46</v>
      </c>
    </row>
    <row r="19" ht="13.5" customHeight="1">
      <c r="A19" s="32" t="s">
        <v>26</v>
      </c>
      <c r="B19" s="33">
        <v>980.0</v>
      </c>
      <c r="C19" s="33">
        <v>1725.0</v>
      </c>
      <c r="D19" s="34">
        <v>745.0</v>
      </c>
      <c r="E19" s="35">
        <v>0.760204081632653</v>
      </c>
      <c r="F19" s="36" t="s">
        <v>46</v>
      </c>
    </row>
    <row r="20" ht="13.5" customHeight="1">
      <c r="A20" s="32" t="s">
        <v>27</v>
      </c>
      <c r="B20" s="37">
        <v>18000.0</v>
      </c>
      <c r="C20" s="37">
        <v>12000.0</v>
      </c>
      <c r="D20" s="38">
        <v>-6000.0</v>
      </c>
      <c r="E20" s="35">
        <v>-0.33333333333333337</v>
      </c>
      <c r="F20" s="39" t="s">
        <v>47</v>
      </c>
    </row>
    <row r="21" ht="13.5" customHeight="1">
      <c r="A21" s="32" t="s">
        <v>28</v>
      </c>
      <c r="B21" s="33">
        <v>225.0</v>
      </c>
      <c r="C21" s="33">
        <v>238.0</v>
      </c>
      <c r="D21" s="34">
        <v>13.0</v>
      </c>
      <c r="E21" s="35">
        <v>0.057777777777777706</v>
      </c>
      <c r="F21" s="36" t="s">
        <v>46</v>
      </c>
    </row>
    <row r="22" ht="13.5" customHeight="1">
      <c r="A22" s="32" t="s">
        <v>29</v>
      </c>
      <c r="B22" s="40">
        <v>0.35</v>
      </c>
      <c r="C22" s="40">
        <v>0.33495145631067963</v>
      </c>
      <c r="D22" s="41">
        <v>-0.015048543689320348</v>
      </c>
      <c r="E22" s="35">
        <v>-0.04299583911234384</v>
      </c>
      <c r="F22" s="39" t="s">
        <v>47</v>
      </c>
    </row>
    <row r="23" ht="13.5" customHeight="1">
      <c r="A23" s="32" t="s">
        <v>30</v>
      </c>
      <c r="B23" s="42">
        <v>18.367346938775512</v>
      </c>
      <c r="C23" s="42">
        <v>6.956521739130435</v>
      </c>
      <c r="D23" s="43">
        <v>-11.410825199645078</v>
      </c>
      <c r="E23" s="35">
        <v>-0.621256038647343</v>
      </c>
      <c r="F23" s="39" t="s">
        <v>47</v>
      </c>
    </row>
    <row r="24" ht="13.5" customHeight="1"/>
    <row r="25" ht="13.5" customHeight="1">
      <c r="A25" t="s">
        <v>48</v>
      </c>
    </row>
    <row r="26" ht="13.5" customHeight="1">
      <c r="A26" s="44" t="s">
        <v>42</v>
      </c>
      <c r="B26" s="44" t="s">
        <v>49</v>
      </c>
      <c r="C26" s="44" t="s">
        <v>50</v>
      </c>
      <c r="D26" s="45" t="s">
        <v>51</v>
      </c>
      <c r="E26" s="45" t="s">
        <v>52</v>
      </c>
      <c r="F26" s="46" t="s">
        <v>53</v>
      </c>
      <c r="G26" s="46" t="s">
        <v>54</v>
      </c>
    </row>
    <row r="27" ht="13.5" customHeight="1">
      <c r="A27" s="31" t="s">
        <v>24</v>
      </c>
      <c r="B27" s="47">
        <v>34550.0</v>
      </c>
      <c r="C27" s="47">
        <v>3838.8888888888887</v>
      </c>
      <c r="D27" s="48">
        <v>5150.0</v>
      </c>
      <c r="E27" s="49" t="s">
        <v>38</v>
      </c>
      <c r="F27" s="50">
        <v>2800.0</v>
      </c>
      <c r="G27" s="36" t="s">
        <v>11</v>
      </c>
    </row>
    <row r="28" ht="13.5" customHeight="1">
      <c r="A28" s="31" t="s">
        <v>25</v>
      </c>
      <c r="B28" s="47">
        <v>12050.0</v>
      </c>
      <c r="C28" s="47">
        <v>1338.888888888889</v>
      </c>
      <c r="D28" s="48">
        <v>1840.0</v>
      </c>
      <c r="E28" s="49" t="s">
        <v>38</v>
      </c>
      <c r="F28" s="50">
        <v>950.0</v>
      </c>
      <c r="G28" s="36" t="s">
        <v>11</v>
      </c>
    </row>
    <row r="29" ht="13.5" customHeight="1">
      <c r="A29" s="31" t="s">
        <v>26</v>
      </c>
      <c r="B29" s="47">
        <v>11770.0</v>
      </c>
      <c r="C29" s="47">
        <v>1307.7777777777778</v>
      </c>
      <c r="D29" s="48">
        <v>1725.0</v>
      </c>
      <c r="E29" s="49" t="s">
        <v>38</v>
      </c>
      <c r="F29" s="50">
        <v>980.0</v>
      </c>
      <c r="G29" s="36" t="s">
        <v>11</v>
      </c>
    </row>
    <row r="30" ht="13.5" customHeight="1">
      <c r="A30" s="31" t="s">
        <v>27</v>
      </c>
      <c r="B30" s="51">
        <v>136000.0</v>
      </c>
      <c r="C30" s="51">
        <v>15111.111111111111</v>
      </c>
      <c r="D30" s="52">
        <v>18000.0</v>
      </c>
      <c r="E30" s="49" t="s">
        <v>11</v>
      </c>
      <c r="F30" s="53">
        <v>12000.0</v>
      </c>
      <c r="G30" s="36" t="s">
        <v>33</v>
      </c>
    </row>
    <row r="31" ht="13.5" customHeight="1">
      <c r="A31" s="31" t="s">
        <v>28</v>
      </c>
      <c r="B31" s="47">
        <v>2214.0</v>
      </c>
      <c r="C31" s="47">
        <v>246.0</v>
      </c>
      <c r="D31" s="48">
        <v>312.0</v>
      </c>
      <c r="E31" s="49" t="s">
        <v>36</v>
      </c>
      <c r="F31" s="50">
        <v>225.0</v>
      </c>
      <c r="G31" s="36" t="s">
        <v>11</v>
      </c>
    </row>
    <row r="32" ht="13.5" customHeight="1">
      <c r="A32" s="31" t="s">
        <v>29</v>
      </c>
      <c r="B32" s="54">
        <v>0.3406657018813314</v>
      </c>
      <c r="C32" s="54">
        <v>0.3415512084162078</v>
      </c>
      <c r="D32" s="55">
        <v>0.35</v>
      </c>
      <c r="E32" s="49" t="s">
        <v>11</v>
      </c>
      <c r="F32" s="56">
        <v>0.33495145631067963</v>
      </c>
      <c r="G32" s="36" t="s">
        <v>38</v>
      </c>
    </row>
    <row r="33" ht="13.5" customHeight="1">
      <c r="A33" s="31" t="s">
        <v>30</v>
      </c>
      <c r="B33" s="57">
        <v>11.554800339847068</v>
      </c>
      <c r="C33" s="57">
        <v>12.124147440199364</v>
      </c>
      <c r="D33" s="58">
        <v>18.367346938775512</v>
      </c>
      <c r="E33" s="49" t="s">
        <v>11</v>
      </c>
      <c r="F33" s="59">
        <v>6.956521739130435</v>
      </c>
      <c r="G33" s="36" t="s">
        <v>38</v>
      </c>
    </row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</sheetData>
  <mergeCells count="3">
    <mergeCell ref="A15:H15"/>
    <mergeCell ref="A12:H12"/>
    <mergeCell ref="A13:H13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8.86"/>
    <col customWidth="1" min="2" max="2" width="7.43"/>
    <col customWidth="1" min="3" max="3" width="13.71"/>
    <col customWidth="1" min="4" max="4" width="8.14"/>
    <col customWidth="1" min="5" max="5" width="14.0"/>
    <col customWidth="1" min="6" max="6" width="9.0"/>
    <col customWidth="1" min="7" max="11" width="8.86"/>
  </cols>
  <sheetData>
    <row r="1" ht="13.5" customHeight="1">
      <c r="A1" s="17" t="s">
        <v>55</v>
      </c>
      <c r="B1" s="17" t="s">
        <v>13</v>
      </c>
      <c r="C1" s="17" t="s">
        <v>25</v>
      </c>
      <c r="D1" s="17" t="s">
        <v>14</v>
      </c>
      <c r="E1" s="17" t="s">
        <v>27</v>
      </c>
      <c r="F1" s="17" t="s">
        <v>29</v>
      </c>
    </row>
    <row r="2" ht="13.5" customHeight="1">
      <c r="A2" s="60" t="s">
        <v>17</v>
      </c>
      <c r="B2" s="61">
        <v>3500.0</v>
      </c>
      <c r="C2" s="61">
        <v>5150.0</v>
      </c>
      <c r="D2" s="61">
        <v>1260.0</v>
      </c>
      <c r="E2" s="62">
        <v>51800.0</v>
      </c>
      <c r="F2" s="63" t="str">
        <f t="shared" ref="F2:F6" si="1">IFERROR(D2/B2,0)</f>
        <v>36.00%</v>
      </c>
    </row>
    <row r="3" ht="13.5" customHeight="1">
      <c r="A3" s="60" t="s">
        <v>18</v>
      </c>
      <c r="B3" s="61">
        <v>4000.0</v>
      </c>
      <c r="C3" s="61">
        <v>4380.0</v>
      </c>
      <c r="D3" s="61">
        <v>1115.0</v>
      </c>
      <c r="E3" s="62">
        <v>46600.0</v>
      </c>
      <c r="F3" s="63" t="str">
        <f t="shared" si="1"/>
        <v>27.88%</v>
      </c>
    </row>
    <row r="4" ht="13.5" customHeight="1">
      <c r="A4" s="60" t="s">
        <v>19</v>
      </c>
      <c r="B4" s="61">
        <v>9800.0</v>
      </c>
      <c r="C4" s="61">
        <v>3920.0</v>
      </c>
      <c r="D4" s="61">
        <v>1460.0</v>
      </c>
      <c r="E4" s="62">
        <v>63200.0</v>
      </c>
      <c r="F4" s="63" t="str">
        <f t="shared" si="1"/>
        <v>14.90%</v>
      </c>
    </row>
    <row r="5" ht="13.5" customHeight="1">
      <c r="A5" s="60" t="s">
        <v>20</v>
      </c>
      <c r="B5" s="61">
        <v>8700.0</v>
      </c>
      <c r="C5" s="61">
        <v>0.0</v>
      </c>
      <c r="D5" s="61">
        <v>1705.0</v>
      </c>
      <c r="E5" s="62">
        <v>75900.0</v>
      </c>
      <c r="F5" s="63" t="str">
        <f t="shared" si="1"/>
        <v>19.60%</v>
      </c>
    </row>
    <row r="6" ht="13.5" customHeight="1">
      <c r="A6" s="60" t="s">
        <v>21</v>
      </c>
      <c r="B6" s="61">
        <v>5500.0</v>
      </c>
      <c r="C6" s="61">
        <v>0.0</v>
      </c>
      <c r="D6" s="61">
        <v>935.0</v>
      </c>
      <c r="E6" s="62">
        <v>40200.0</v>
      </c>
      <c r="F6" s="63" t="str">
        <f t="shared" si="1"/>
        <v>17.00%</v>
      </c>
    </row>
    <row r="7" ht="13.5" customHeight="1">
      <c r="A7" s="60" t="s">
        <v>56</v>
      </c>
      <c r="B7" s="64" t="str">
        <f t="shared" ref="B7:E7" si="2">SUM(B2:B6)</f>
        <v>31,500</v>
      </c>
      <c r="C7" s="64" t="str">
        <f t="shared" si="2"/>
        <v>13,450</v>
      </c>
      <c r="D7" s="64" t="str">
        <f t="shared" si="2"/>
        <v>6,475</v>
      </c>
      <c r="E7" s="65" t="str">
        <f t="shared" si="2"/>
        <v> Q 277,700.00 </v>
      </c>
    </row>
    <row r="8" ht="13.5" customHeight="1"/>
    <row r="9" ht="13.5" customHeight="1"/>
    <row r="10" ht="13.5" customHeight="1">
      <c r="A10" s="17" t="s">
        <v>55</v>
      </c>
      <c r="B10" s="17" t="s">
        <v>13</v>
      </c>
      <c r="C10" s="17" t="s">
        <v>25</v>
      </c>
      <c r="D10" s="17" t="s">
        <v>14</v>
      </c>
      <c r="E10" s="17" t="s">
        <v>27</v>
      </c>
      <c r="F10" s="17"/>
    </row>
    <row r="11" ht="13.5" customHeight="1">
      <c r="A11" s="60" t="s">
        <v>17</v>
      </c>
      <c r="B11" s="66" t="str">
        <f t="shared" ref="B11:E11" si="3">B2/B7</f>
        <v>11%</v>
      </c>
      <c r="C11" s="66" t="str">
        <f t="shared" si="3"/>
        <v>38%</v>
      </c>
      <c r="D11" s="66" t="str">
        <f t="shared" si="3"/>
        <v>19%</v>
      </c>
      <c r="E11" s="66" t="str">
        <f t="shared" si="3"/>
        <v>19%</v>
      </c>
      <c r="F11" s="63"/>
    </row>
    <row r="12" ht="13.5" customHeight="1">
      <c r="A12" s="60" t="s">
        <v>18</v>
      </c>
      <c r="B12" s="66" t="str">
        <f t="shared" ref="B12:E12" si="4">B3/B7</f>
        <v>13%</v>
      </c>
      <c r="C12" s="66" t="str">
        <f t="shared" si="4"/>
        <v>33%</v>
      </c>
      <c r="D12" s="66" t="str">
        <f t="shared" si="4"/>
        <v>17%</v>
      </c>
      <c r="E12" s="66" t="str">
        <f t="shared" si="4"/>
        <v>17%</v>
      </c>
      <c r="F12" s="63"/>
    </row>
    <row r="13" ht="13.5" customHeight="1">
      <c r="A13" s="60" t="s">
        <v>19</v>
      </c>
      <c r="B13" s="66" t="str">
        <f t="shared" ref="B13:E13" si="5">B4/B7</f>
        <v>31%</v>
      </c>
      <c r="C13" s="66" t="str">
        <f t="shared" si="5"/>
        <v>29%</v>
      </c>
      <c r="D13" s="66" t="str">
        <f t="shared" si="5"/>
        <v>23%</v>
      </c>
      <c r="E13" s="66" t="str">
        <f t="shared" si="5"/>
        <v>23%</v>
      </c>
      <c r="F13" s="63"/>
    </row>
    <row r="14" ht="13.5" customHeight="1">
      <c r="A14" s="60" t="s">
        <v>20</v>
      </c>
      <c r="B14" s="66" t="str">
        <f>B5/B7</f>
        <v>28%</v>
      </c>
      <c r="C14" s="61">
        <v>0.0</v>
      </c>
      <c r="D14" s="66" t="str">
        <f t="shared" ref="D14:E14" si="6">D5/D7</f>
        <v>26%</v>
      </c>
      <c r="E14" s="66" t="str">
        <f t="shared" si="6"/>
        <v>27%</v>
      </c>
      <c r="F14" s="63"/>
    </row>
    <row r="15" ht="13.5" customHeight="1">
      <c r="A15" s="60" t="s">
        <v>21</v>
      </c>
      <c r="B15" s="66" t="str">
        <f>B6/B7</f>
        <v>17%</v>
      </c>
      <c r="C15" s="61">
        <v>0.0</v>
      </c>
      <c r="D15" s="66" t="str">
        <f t="shared" ref="D15:E15" si="7">D6/D7</f>
        <v>14%</v>
      </c>
      <c r="E15" s="66" t="str">
        <f t="shared" si="7"/>
        <v>14%</v>
      </c>
      <c r="F15" s="63"/>
    </row>
    <row r="16" ht="13.5" customHeight="1">
      <c r="A16" s="60" t="s">
        <v>56</v>
      </c>
      <c r="B16" s="66" t="str">
        <f t="shared" ref="B16:C16" si="8">B7/B7</f>
        <v>100%</v>
      </c>
      <c r="C16" s="67" t="str">
        <f t="shared" si="8"/>
        <v>100%</v>
      </c>
      <c r="D16" s="67" t="str">
        <f>SUM(D11:D15)</f>
        <v>100%</v>
      </c>
      <c r="E16" s="67" t="str">
        <f>E7/E7</f>
        <v>100%</v>
      </c>
    </row>
    <row r="17" ht="13.5" customHeight="1"/>
    <row r="18" ht="13.5" customHeight="1"/>
    <row r="19" ht="13.5" customHeight="1"/>
    <row r="20" ht="13.5" customHeight="1">
      <c r="A20" s="68" t="s">
        <v>57</v>
      </c>
    </row>
    <row r="21" ht="13.5" customHeight="1">
      <c r="A21" s="69" t="s">
        <v>58</v>
      </c>
    </row>
    <row r="22" ht="13.5" customHeight="1">
      <c r="A22" s="69" t="s">
        <v>59</v>
      </c>
    </row>
    <row r="23" ht="13.5" customHeight="1">
      <c r="A23" s="69" t="s">
        <v>60</v>
      </c>
    </row>
    <row r="24" ht="13.5" customHeight="1">
      <c r="A24" s="70" t="s">
        <v>61</v>
      </c>
    </row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</sheetData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ScaleCrop>false</ScaleCrop>
  <HeadingPairs>
    <vt:vector baseType="variant" size="2">
      <vt:variant>
        <vt:lpstr>Hojas de cálculo</vt:lpstr>
      </vt:variant>
      <vt:variant>
        <vt:i4>3</vt:i4>
      </vt:variant>
    </vt:vector>
  </HeadingPairs>
  <TitlesOfParts>
    <vt:vector baseType="lpstr" size="3">
      <vt:lpstr>Dashboard</vt:lpstr>
      <vt:lpstr>Datos_Mensuales</vt:lpstr>
      <vt:lpstr>Fuentes_Trafico</vt:lpstr>
    </vt:vector>
  </TitlesOfParts>
  <LinksUpToDate>false</LinksUpToDate>
  <SharedDoc>false</SharedDoc>
  <HyperlinksChanged>false</HyperlinksChanged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</dc:creator>
  <cp:lastModifiedBy>Julio Guzman De Leon</cp:lastModifiedBy>
  <dcterms:modified xsi:type="dcterms:W3CDTF">2026-10-16T04:19:53Z</dcterms:modified>
</cp:coreProperties>
</file>