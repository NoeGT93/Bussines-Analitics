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cep Xela2\Desktop\UNIVERSIDAD\6 SEXTO SEMESTRE\1 SEMINARIO MERCADEO\TAREAS\"/>
    </mc:Choice>
  </mc:AlternateContent>
  <xr:revisionPtr revIDLastSave="0" documentId="13_ncr:1_{419A0FC5-C78A-45D1-AB35-DBDE8D6E798A}" xr6:coauthVersionLast="47" xr6:coauthVersionMax="47" xr10:uidLastSave="{00000000-0000-0000-0000-000000000000}"/>
  <bookViews>
    <workbookView xWindow="-108" yWindow="-108" windowWidth="23256" windowHeight="12456" xr2:uid="{1353697D-9F0F-49C2-A0B1-301E53210D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3" i="1" l="1"/>
  <c r="I47" i="1" s="1"/>
  <c r="G53" i="1"/>
  <c r="I52" i="1"/>
  <c r="I51" i="1"/>
  <c r="I50" i="1"/>
  <c r="I49" i="1"/>
  <c r="H42" i="1"/>
  <c r="G42" i="1"/>
  <c r="I41" i="1"/>
  <c r="I40" i="1"/>
  <c r="I39" i="1"/>
  <c r="I38" i="1"/>
  <c r="H32" i="1"/>
  <c r="G32" i="1"/>
  <c r="I31" i="1"/>
  <c r="I30" i="1"/>
  <c r="I29" i="1"/>
  <c r="I28" i="1"/>
  <c r="H22" i="1"/>
  <c r="I16" i="1" s="1"/>
  <c r="G22" i="1"/>
  <c r="I21" i="1"/>
  <c r="I20" i="1"/>
  <c r="I19" i="1"/>
  <c r="I18" i="1"/>
  <c r="H12" i="1"/>
  <c r="I6" i="1" s="1"/>
  <c r="G12" i="1"/>
  <c r="I11" i="1"/>
  <c r="I10" i="1"/>
  <c r="I9" i="1"/>
  <c r="I8" i="1"/>
  <c r="C42" i="1"/>
  <c r="D36" i="1" s="1"/>
  <c r="B42" i="1"/>
  <c r="D41" i="1"/>
  <c r="D40" i="1"/>
  <c r="D39" i="1"/>
  <c r="D38" i="1"/>
  <c r="C32" i="1"/>
  <c r="B32" i="1"/>
  <c r="D31" i="1"/>
  <c r="D30" i="1"/>
  <c r="D29" i="1"/>
  <c r="D28" i="1"/>
  <c r="C22" i="1"/>
  <c r="B22" i="1"/>
  <c r="D21" i="1"/>
  <c r="D20" i="1"/>
  <c r="D19" i="1"/>
  <c r="D18" i="1"/>
  <c r="D9" i="1"/>
  <c r="D10" i="1"/>
  <c r="D11" i="1"/>
  <c r="D8" i="1"/>
  <c r="C12" i="1"/>
  <c r="B12" i="1"/>
  <c r="I53" i="1" l="1"/>
  <c r="I36" i="1"/>
  <c r="I42" i="1"/>
  <c r="I32" i="1"/>
  <c r="I26" i="1"/>
  <c r="I22" i="1"/>
  <c r="I12" i="1"/>
  <c r="D42" i="1"/>
  <c r="D26" i="1"/>
  <c r="D32" i="1"/>
  <c r="D16" i="1"/>
  <c r="D22" i="1"/>
  <c r="D12" i="1"/>
  <c r="D6" i="1"/>
</calcChain>
</file>

<file path=xl/sharedStrings.xml><?xml version="1.0" encoding="utf-8"?>
<sst xmlns="http://schemas.openxmlformats.org/spreadsheetml/2006/main" count="127" uniqueCount="23">
  <si>
    <t>INVERSION</t>
  </si>
  <si>
    <t xml:space="preserve">VENTA </t>
  </si>
  <si>
    <t>MES</t>
  </si>
  <si>
    <t xml:space="preserve">ENERO </t>
  </si>
  <si>
    <t xml:space="preserve">INSTAGRAM </t>
  </si>
  <si>
    <t xml:space="preserve">FACEBOOK </t>
  </si>
  <si>
    <t xml:space="preserve">WHATSAP </t>
  </si>
  <si>
    <t xml:space="preserve">TIK TOK </t>
  </si>
  <si>
    <t>RECIBIDOS</t>
  </si>
  <si>
    <t xml:space="preserve">CERRADOS </t>
  </si>
  <si>
    <t xml:space="preserve">TOTAL </t>
  </si>
  <si>
    <t>%CERRADOS</t>
  </si>
  <si>
    <t xml:space="preserve">RED </t>
  </si>
  <si>
    <t xml:space="preserve">TICKET </t>
  </si>
  <si>
    <t xml:space="preserve">FEBRERO </t>
  </si>
  <si>
    <t xml:space="preserve">MARZO </t>
  </si>
  <si>
    <t xml:space="preserve">ABRIL </t>
  </si>
  <si>
    <t xml:space="preserve">MAYO </t>
  </si>
  <si>
    <t>JUNIO</t>
  </si>
  <si>
    <t xml:space="preserve">JULIO </t>
  </si>
  <si>
    <t xml:space="preserve">AGOSTO </t>
  </si>
  <si>
    <t xml:space="preserve">SEPTIEMBRE </t>
  </si>
  <si>
    <t xml:space="preserve">REPORTE DE VENTAS Y ESTRATEGIA COMERCIAL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</si>
</sst>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Q-100A]* #,##0.00_-;\-[$Q-100A]* #,##0.00_-;_-[$Q-100A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9" fontId="0" fillId="0" borderId="1" xfId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/>
    <xf numFmtId="0" fontId="2" fillId="0" borderId="0" xfId="0" applyFont="1"/>
    <xf numFmtId="2" fontId="2" fillId="0" borderId="0" xfId="0" applyNumberFormat="1" applyFont="1"/>
    <xf numFmtId="0" fontId="2" fillId="0" borderId="2" xfId="0" applyFont="1" applyBorder="1"/>
    <xf numFmtId="167" fontId="2" fillId="0" borderId="2" xfId="0" applyNumberFormat="1" applyFont="1" applyBorder="1"/>
    <xf numFmtId="0" fontId="2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0A02-43BD-450D-8D1F-150AB6C17EB0}">
  <dimension ref="A1:I53"/>
  <sheetViews>
    <sheetView tabSelected="1" workbookViewId="0">
      <selection activeCell="M59" sqref="M59"/>
    </sheetView>
  </sheetViews>
  <sheetFormatPr baseColWidth="10" defaultRowHeight="14.4" x14ac:dyDescent="0.3"/>
  <cols>
    <col min="2" max="2" width="12.77734375" bestFit="1" customWidth="1"/>
    <col min="7" max="7" width="13" customWidth="1"/>
  </cols>
  <sheetData>
    <row r="1" spans="1:9" x14ac:dyDescent="0.3">
      <c r="A1" s="10" t="s">
        <v>22</v>
      </c>
      <c r="B1" s="10"/>
      <c r="C1" s="10"/>
      <c r="D1" s="10"/>
      <c r="E1" s="10"/>
      <c r="F1" s="10"/>
      <c r="G1" s="10"/>
    </row>
    <row r="2" spans="1:9" x14ac:dyDescent="0.3">
      <c r="A2" s="10"/>
      <c r="B2" s="10"/>
      <c r="C2" s="10"/>
      <c r="D2" s="10"/>
      <c r="E2" s="10"/>
      <c r="F2" s="10"/>
      <c r="G2" s="10"/>
    </row>
    <row r="4" spans="1:9" x14ac:dyDescent="0.3">
      <c r="A4" s="3" t="s">
        <v>2</v>
      </c>
      <c r="B4" s="3" t="s">
        <v>3</v>
      </c>
      <c r="C4" s="6"/>
      <c r="D4" s="6"/>
      <c r="F4" s="3" t="s">
        <v>2</v>
      </c>
      <c r="G4" s="3" t="s">
        <v>17</v>
      </c>
      <c r="H4" s="6"/>
      <c r="I4" s="6"/>
    </row>
    <row r="5" spans="1:9" x14ac:dyDescent="0.3">
      <c r="A5" s="8" t="s">
        <v>0</v>
      </c>
      <c r="B5" s="9">
        <v>50000</v>
      </c>
      <c r="C5" s="6"/>
      <c r="D5" s="7"/>
      <c r="F5" s="8" t="s">
        <v>0</v>
      </c>
      <c r="G5" s="9">
        <v>50000</v>
      </c>
      <c r="H5" s="6"/>
      <c r="I5" s="7"/>
    </row>
    <row r="6" spans="1:9" x14ac:dyDescent="0.3">
      <c r="A6" s="3" t="s">
        <v>1</v>
      </c>
      <c r="B6" s="5">
        <v>502500</v>
      </c>
      <c r="C6" s="3" t="s">
        <v>13</v>
      </c>
      <c r="D6" s="5">
        <f>B6/C12</f>
        <v>1532.0121951219512</v>
      </c>
      <c r="F6" s="3" t="s">
        <v>1</v>
      </c>
      <c r="G6" s="5">
        <v>294275</v>
      </c>
      <c r="H6" s="3" t="s">
        <v>13</v>
      </c>
      <c r="I6" s="5">
        <f>G6/H12</f>
        <v>1456.8069306930693</v>
      </c>
    </row>
    <row r="7" spans="1:9" x14ac:dyDescent="0.3">
      <c r="A7" s="4" t="s">
        <v>12</v>
      </c>
      <c r="B7" s="4" t="s">
        <v>8</v>
      </c>
      <c r="C7" s="4" t="s">
        <v>9</v>
      </c>
      <c r="D7" s="4" t="s">
        <v>11</v>
      </c>
      <c r="F7" s="4" t="s">
        <v>12</v>
      </c>
      <c r="G7" s="4" t="s">
        <v>8</v>
      </c>
      <c r="H7" s="4" t="s">
        <v>9</v>
      </c>
      <c r="I7" s="4" t="s">
        <v>11</v>
      </c>
    </row>
    <row r="8" spans="1:9" x14ac:dyDescent="0.3">
      <c r="A8" s="1" t="s">
        <v>4</v>
      </c>
      <c r="B8" s="1">
        <v>635</v>
      </c>
      <c r="C8" s="1">
        <v>95</v>
      </c>
      <c r="D8" s="2">
        <f>C8/B8</f>
        <v>0.14960629921259844</v>
      </c>
      <c r="F8" s="1" t="s">
        <v>4</v>
      </c>
      <c r="G8" s="1">
        <v>567</v>
      </c>
      <c r="H8" s="1">
        <v>72</v>
      </c>
      <c r="I8" s="2">
        <f>H8/G8</f>
        <v>0.12698412698412698</v>
      </c>
    </row>
    <row r="9" spans="1:9" x14ac:dyDescent="0.3">
      <c r="A9" s="1" t="s">
        <v>5</v>
      </c>
      <c r="B9" s="1">
        <v>605</v>
      </c>
      <c r="C9" s="1">
        <v>90</v>
      </c>
      <c r="D9" s="2">
        <f t="shared" ref="D9:D12" si="0">C9/B9</f>
        <v>0.1487603305785124</v>
      </c>
      <c r="F9" s="1" t="s">
        <v>5</v>
      </c>
      <c r="G9" s="1">
        <v>500</v>
      </c>
      <c r="H9" s="1">
        <v>78</v>
      </c>
      <c r="I9" s="2">
        <f t="shared" ref="I9:I12" si="1">H9/G9</f>
        <v>0.156</v>
      </c>
    </row>
    <row r="10" spans="1:9" x14ac:dyDescent="0.3">
      <c r="A10" s="1" t="s">
        <v>6</v>
      </c>
      <c r="B10" s="1">
        <v>595</v>
      </c>
      <c r="C10" s="1">
        <v>135</v>
      </c>
      <c r="D10" s="2">
        <f t="shared" si="0"/>
        <v>0.22689075630252101</v>
      </c>
      <c r="F10" s="1" t="s">
        <v>6</v>
      </c>
      <c r="G10" s="1">
        <v>118</v>
      </c>
      <c r="H10" s="1">
        <v>49</v>
      </c>
      <c r="I10" s="2">
        <f t="shared" si="1"/>
        <v>0.4152542372881356</v>
      </c>
    </row>
    <row r="11" spans="1:9" x14ac:dyDescent="0.3">
      <c r="A11" s="1" t="s">
        <v>7</v>
      </c>
      <c r="B11" s="1">
        <v>78</v>
      </c>
      <c r="C11" s="1">
        <v>8</v>
      </c>
      <c r="D11" s="2">
        <f t="shared" si="0"/>
        <v>0.10256410256410256</v>
      </c>
      <c r="F11" s="1" t="s">
        <v>7</v>
      </c>
      <c r="G11" s="1">
        <v>49</v>
      </c>
      <c r="H11" s="1">
        <v>3</v>
      </c>
      <c r="I11" s="2">
        <f t="shared" si="1"/>
        <v>6.1224489795918366E-2</v>
      </c>
    </row>
    <row r="12" spans="1:9" x14ac:dyDescent="0.3">
      <c r="A12" s="1" t="s">
        <v>10</v>
      </c>
      <c r="B12" s="1">
        <f>SUM(B8:B11)</f>
        <v>1913</v>
      </c>
      <c r="C12" s="1">
        <f>SUM(C8:C11)</f>
        <v>328</v>
      </c>
      <c r="D12" s="2">
        <f t="shared" si="0"/>
        <v>0.17145844223732357</v>
      </c>
      <c r="F12" s="1" t="s">
        <v>10</v>
      </c>
      <c r="G12" s="1">
        <f>SUM(G8:G11)</f>
        <v>1234</v>
      </c>
      <c r="H12" s="1">
        <f>SUM(H8:H11)</f>
        <v>202</v>
      </c>
      <c r="I12" s="2">
        <f t="shared" si="1"/>
        <v>0.16369529983792544</v>
      </c>
    </row>
    <row r="14" spans="1:9" x14ac:dyDescent="0.3">
      <c r="A14" s="3" t="s">
        <v>2</v>
      </c>
      <c r="B14" s="3" t="s">
        <v>14</v>
      </c>
      <c r="C14" s="6"/>
      <c r="D14" s="6"/>
      <c r="F14" s="3" t="s">
        <v>2</v>
      </c>
      <c r="G14" s="3" t="s">
        <v>18</v>
      </c>
      <c r="H14" s="6"/>
      <c r="I14" s="6"/>
    </row>
    <row r="15" spans="1:9" x14ac:dyDescent="0.3">
      <c r="A15" s="8" t="s">
        <v>0</v>
      </c>
      <c r="B15" s="9">
        <v>50000</v>
      </c>
      <c r="C15" s="6"/>
      <c r="D15" s="7"/>
      <c r="F15" s="8" t="s">
        <v>0</v>
      </c>
      <c r="G15" s="9">
        <v>50000</v>
      </c>
      <c r="H15" s="6"/>
      <c r="I15" s="7"/>
    </row>
    <row r="16" spans="1:9" x14ac:dyDescent="0.3">
      <c r="A16" s="3" t="s">
        <v>1</v>
      </c>
      <c r="B16" s="5">
        <v>463275</v>
      </c>
      <c r="C16" s="3" t="s">
        <v>13</v>
      </c>
      <c r="D16" s="5">
        <f>B16/C22</f>
        <v>1619.8426573426573</v>
      </c>
      <c r="F16" s="3" t="s">
        <v>1</v>
      </c>
      <c r="G16" s="5">
        <v>355350</v>
      </c>
      <c r="H16" s="3" t="s">
        <v>13</v>
      </c>
      <c r="I16" s="5">
        <f>G16/H22</f>
        <v>1456.3524590163934</v>
      </c>
    </row>
    <row r="17" spans="1:9" x14ac:dyDescent="0.3">
      <c r="A17" s="4" t="s">
        <v>12</v>
      </c>
      <c r="B17" s="4" t="s">
        <v>8</v>
      </c>
      <c r="C17" s="4" t="s">
        <v>9</v>
      </c>
      <c r="D17" s="4" t="s">
        <v>11</v>
      </c>
      <c r="F17" s="4" t="s">
        <v>12</v>
      </c>
      <c r="G17" s="4" t="s">
        <v>8</v>
      </c>
      <c r="H17" s="4" t="s">
        <v>9</v>
      </c>
      <c r="I17" s="4" t="s">
        <v>11</v>
      </c>
    </row>
    <row r="18" spans="1:9" x14ac:dyDescent="0.3">
      <c r="A18" s="1" t="s">
        <v>4</v>
      </c>
      <c r="B18" s="1">
        <v>608</v>
      </c>
      <c r="C18" s="1">
        <v>78</v>
      </c>
      <c r="D18" s="2">
        <f>C18/B18</f>
        <v>0.12828947368421054</v>
      </c>
      <c r="F18" s="1" t="s">
        <v>4</v>
      </c>
      <c r="G18" s="1">
        <v>710</v>
      </c>
      <c r="H18" s="1">
        <v>89</v>
      </c>
      <c r="I18" s="2">
        <f>H18/G18</f>
        <v>0.12535211267605634</v>
      </c>
    </row>
    <row r="19" spans="1:9" x14ac:dyDescent="0.3">
      <c r="A19" s="1" t="s">
        <v>5</v>
      </c>
      <c r="B19" s="1">
        <v>375</v>
      </c>
      <c r="C19" s="1">
        <v>99</v>
      </c>
      <c r="D19" s="2">
        <f t="shared" ref="D19:D22" si="2">C19/B19</f>
        <v>0.26400000000000001</v>
      </c>
      <c r="F19" s="1" t="s">
        <v>5</v>
      </c>
      <c r="G19" s="1">
        <v>415</v>
      </c>
      <c r="H19" s="1">
        <v>93</v>
      </c>
      <c r="I19" s="2">
        <f t="shared" ref="I19:I22" si="3">H19/G19</f>
        <v>0.22409638554216868</v>
      </c>
    </row>
    <row r="20" spans="1:9" x14ac:dyDescent="0.3">
      <c r="A20" s="1" t="s">
        <v>6</v>
      </c>
      <c r="B20" s="1">
        <v>397</v>
      </c>
      <c r="C20" s="1">
        <v>102</v>
      </c>
      <c r="D20" s="2">
        <f t="shared" si="2"/>
        <v>0.25692695214105793</v>
      </c>
      <c r="F20" s="1" t="s">
        <v>6</v>
      </c>
      <c r="G20" s="1">
        <v>144</v>
      </c>
      <c r="H20" s="1">
        <v>61</v>
      </c>
      <c r="I20" s="2">
        <f t="shared" si="3"/>
        <v>0.4236111111111111</v>
      </c>
    </row>
    <row r="21" spans="1:9" x14ac:dyDescent="0.3">
      <c r="A21" s="1" t="s">
        <v>7</v>
      </c>
      <c r="B21" s="1">
        <v>55</v>
      </c>
      <c r="C21" s="1">
        <v>7</v>
      </c>
      <c r="D21" s="2">
        <f t="shared" si="2"/>
        <v>0.12727272727272726</v>
      </c>
      <c r="F21" s="1" t="s">
        <v>7</v>
      </c>
      <c r="G21" s="1">
        <v>37</v>
      </c>
      <c r="H21" s="1">
        <v>1</v>
      </c>
      <c r="I21" s="2">
        <f t="shared" si="3"/>
        <v>2.7027027027027029E-2</v>
      </c>
    </row>
    <row r="22" spans="1:9" x14ac:dyDescent="0.3">
      <c r="A22" s="1" t="s">
        <v>10</v>
      </c>
      <c r="B22" s="1">
        <f>SUM(B18:B21)</f>
        <v>1435</v>
      </c>
      <c r="C22" s="1">
        <f>SUM(C18:C21)</f>
        <v>286</v>
      </c>
      <c r="D22" s="2">
        <f t="shared" si="2"/>
        <v>0.19930313588850174</v>
      </c>
      <c r="F22" s="1" t="s">
        <v>10</v>
      </c>
      <c r="G22" s="1">
        <f>SUM(G18:G21)</f>
        <v>1306</v>
      </c>
      <c r="H22" s="1">
        <f>SUM(H18:H21)</f>
        <v>244</v>
      </c>
      <c r="I22" s="2">
        <f t="shared" si="3"/>
        <v>0.18683001531393567</v>
      </c>
    </row>
    <row r="24" spans="1:9" x14ac:dyDescent="0.3">
      <c r="A24" s="3" t="s">
        <v>2</v>
      </c>
      <c r="B24" s="3" t="s">
        <v>15</v>
      </c>
      <c r="C24" s="6"/>
      <c r="D24" s="6"/>
      <c r="F24" s="3" t="s">
        <v>2</v>
      </c>
      <c r="G24" s="3" t="s">
        <v>19</v>
      </c>
      <c r="H24" s="6"/>
      <c r="I24" s="6"/>
    </row>
    <row r="25" spans="1:9" x14ac:dyDescent="0.3">
      <c r="A25" s="8" t="s">
        <v>0</v>
      </c>
      <c r="B25" s="9">
        <v>50000</v>
      </c>
      <c r="C25" s="6"/>
      <c r="D25" s="7"/>
      <c r="F25" s="8" t="s">
        <v>0</v>
      </c>
      <c r="G25" s="9">
        <v>50000</v>
      </c>
      <c r="H25" s="6"/>
      <c r="I25" s="7"/>
    </row>
    <row r="26" spans="1:9" x14ac:dyDescent="0.3">
      <c r="A26" s="3" t="s">
        <v>1</v>
      </c>
      <c r="B26" s="5">
        <v>403200</v>
      </c>
      <c r="C26" s="3" t="s">
        <v>13</v>
      </c>
      <c r="D26" s="5">
        <f>B26/C32</f>
        <v>1460.8695652173913</v>
      </c>
      <c r="F26" s="3" t="s">
        <v>1</v>
      </c>
      <c r="G26" s="5">
        <v>647150</v>
      </c>
      <c r="H26" s="3" t="s">
        <v>13</v>
      </c>
      <c r="I26" s="5">
        <f>G26/H32</f>
        <v>1914.6449704142012</v>
      </c>
    </row>
    <row r="27" spans="1:9" x14ac:dyDescent="0.3">
      <c r="A27" s="4" t="s">
        <v>12</v>
      </c>
      <c r="B27" s="4" t="s">
        <v>8</v>
      </c>
      <c r="C27" s="4" t="s">
        <v>9</v>
      </c>
      <c r="D27" s="4" t="s">
        <v>11</v>
      </c>
      <c r="F27" s="4" t="s">
        <v>12</v>
      </c>
      <c r="G27" s="4" t="s">
        <v>8</v>
      </c>
      <c r="H27" s="4" t="s">
        <v>9</v>
      </c>
      <c r="I27" s="4" t="s">
        <v>11</v>
      </c>
    </row>
    <row r="28" spans="1:9" x14ac:dyDescent="0.3">
      <c r="A28" s="1" t="s">
        <v>4</v>
      </c>
      <c r="B28" s="1">
        <v>588</v>
      </c>
      <c r="C28" s="1">
        <v>87</v>
      </c>
      <c r="D28" s="2">
        <f>C28/B28</f>
        <v>0.14795918367346939</v>
      </c>
      <c r="F28" s="1" t="s">
        <v>4</v>
      </c>
      <c r="G28" s="1">
        <v>799</v>
      </c>
      <c r="H28" s="1">
        <v>105</v>
      </c>
      <c r="I28" s="2">
        <f>H28/G28</f>
        <v>0.13141426783479349</v>
      </c>
    </row>
    <row r="29" spans="1:9" x14ac:dyDescent="0.3">
      <c r="A29" s="1" t="s">
        <v>5</v>
      </c>
      <c r="B29" s="1">
        <v>581</v>
      </c>
      <c r="C29" s="1">
        <v>88</v>
      </c>
      <c r="D29" s="2">
        <f t="shared" ref="D29:D32" si="4">C29/B29</f>
        <v>0.15146299483648881</v>
      </c>
      <c r="F29" s="1" t="s">
        <v>5</v>
      </c>
      <c r="G29" s="1">
        <v>492</v>
      </c>
      <c r="H29" s="1">
        <v>117</v>
      </c>
      <c r="I29" s="2">
        <f t="shared" ref="I29:I32" si="5">H29/G29</f>
        <v>0.23780487804878048</v>
      </c>
    </row>
    <row r="30" spans="1:9" x14ac:dyDescent="0.3">
      <c r="A30" s="1" t="s">
        <v>6</v>
      </c>
      <c r="B30" s="1">
        <v>388</v>
      </c>
      <c r="C30" s="1">
        <v>92</v>
      </c>
      <c r="D30" s="2">
        <f t="shared" si="4"/>
        <v>0.23711340206185566</v>
      </c>
      <c r="F30" s="1" t="s">
        <v>6</v>
      </c>
      <c r="G30" s="1">
        <v>382</v>
      </c>
      <c r="H30" s="1">
        <v>99</v>
      </c>
      <c r="I30" s="2">
        <f t="shared" si="5"/>
        <v>0.25916230366492149</v>
      </c>
    </row>
    <row r="31" spans="1:9" x14ac:dyDescent="0.3">
      <c r="A31" s="1" t="s">
        <v>7</v>
      </c>
      <c r="B31" s="1">
        <v>47</v>
      </c>
      <c r="C31" s="1">
        <v>9</v>
      </c>
      <c r="D31" s="2">
        <f t="shared" si="4"/>
        <v>0.19148936170212766</v>
      </c>
      <c r="F31" s="1" t="s">
        <v>7</v>
      </c>
      <c r="G31" s="1">
        <v>69</v>
      </c>
      <c r="H31" s="1">
        <v>17</v>
      </c>
      <c r="I31" s="2">
        <f t="shared" si="5"/>
        <v>0.24637681159420291</v>
      </c>
    </row>
    <row r="32" spans="1:9" x14ac:dyDescent="0.3">
      <c r="A32" s="1" t="s">
        <v>10</v>
      </c>
      <c r="B32" s="1">
        <f>SUM(B28:B31)</f>
        <v>1604</v>
      </c>
      <c r="C32" s="1">
        <f>SUM(C28:C31)</f>
        <v>276</v>
      </c>
      <c r="D32" s="2">
        <f t="shared" si="4"/>
        <v>0.17206982543640897</v>
      </c>
      <c r="F32" s="1" t="s">
        <v>10</v>
      </c>
      <c r="G32" s="1">
        <f>SUM(G28:G31)</f>
        <v>1742</v>
      </c>
      <c r="H32" s="1">
        <f>SUM(H28:H31)</f>
        <v>338</v>
      </c>
      <c r="I32" s="2">
        <f t="shared" si="5"/>
        <v>0.19402985074626866</v>
      </c>
    </row>
    <row r="34" spans="1:9" x14ac:dyDescent="0.3">
      <c r="A34" s="3" t="s">
        <v>2</v>
      </c>
      <c r="B34" s="3" t="s">
        <v>16</v>
      </c>
      <c r="C34" s="6"/>
      <c r="D34" s="6"/>
      <c r="F34" s="3" t="s">
        <v>2</v>
      </c>
      <c r="G34" s="3" t="s">
        <v>20</v>
      </c>
      <c r="H34" s="6"/>
      <c r="I34" s="6"/>
    </row>
    <row r="35" spans="1:9" x14ac:dyDescent="0.3">
      <c r="A35" s="8" t="s">
        <v>0</v>
      </c>
      <c r="B35" s="9">
        <v>50000</v>
      </c>
      <c r="C35" s="6"/>
      <c r="D35" s="7"/>
      <c r="F35" s="8" t="s">
        <v>0</v>
      </c>
      <c r="G35" s="9">
        <v>50000</v>
      </c>
      <c r="H35" s="6"/>
      <c r="I35" s="7"/>
    </row>
    <row r="36" spans="1:9" x14ac:dyDescent="0.3">
      <c r="A36" s="3" t="s">
        <v>1</v>
      </c>
      <c r="B36" s="5">
        <v>336900</v>
      </c>
      <c r="C36" s="3" t="s">
        <v>13</v>
      </c>
      <c r="D36" s="5">
        <f>B36/C42</f>
        <v>1316.015625</v>
      </c>
      <c r="F36" s="3" t="s">
        <v>1</v>
      </c>
      <c r="G36" s="5">
        <v>235200</v>
      </c>
      <c r="H36" s="3" t="s">
        <v>13</v>
      </c>
      <c r="I36" s="5">
        <f>G36/H42</f>
        <v>1264.516129032258</v>
      </c>
    </row>
    <row r="37" spans="1:9" x14ac:dyDescent="0.3">
      <c r="A37" s="4" t="s">
        <v>12</v>
      </c>
      <c r="B37" s="4" t="s">
        <v>8</v>
      </c>
      <c r="C37" s="4" t="s">
        <v>9</v>
      </c>
      <c r="D37" s="4" t="s">
        <v>11</v>
      </c>
      <c r="F37" s="4" t="s">
        <v>12</v>
      </c>
      <c r="G37" s="4" t="s">
        <v>8</v>
      </c>
      <c r="H37" s="4" t="s">
        <v>9</v>
      </c>
      <c r="I37" s="4" t="s">
        <v>11</v>
      </c>
    </row>
    <row r="38" spans="1:9" x14ac:dyDescent="0.3">
      <c r="A38" s="1" t="s">
        <v>4</v>
      </c>
      <c r="B38" s="1">
        <v>695</v>
      </c>
      <c r="C38" s="1">
        <v>91</v>
      </c>
      <c r="D38" s="2">
        <f>C38/B38</f>
        <v>0.13093525179856116</v>
      </c>
      <c r="F38" s="1" t="s">
        <v>4</v>
      </c>
      <c r="G38" s="1">
        <v>459</v>
      </c>
      <c r="H38" s="1">
        <v>55</v>
      </c>
      <c r="I38" s="2">
        <f>H38/G38</f>
        <v>0.11982570806100218</v>
      </c>
    </row>
    <row r="39" spans="1:9" x14ac:dyDescent="0.3">
      <c r="A39" s="1" t="s">
        <v>5</v>
      </c>
      <c r="B39" s="1">
        <v>486</v>
      </c>
      <c r="C39" s="1">
        <v>81</v>
      </c>
      <c r="D39" s="2">
        <f t="shared" ref="D39:D42" si="6">C39/B39</f>
        <v>0.16666666666666666</v>
      </c>
      <c r="F39" s="1" t="s">
        <v>5</v>
      </c>
      <c r="G39" s="1">
        <v>560</v>
      </c>
      <c r="H39" s="1">
        <v>59</v>
      </c>
      <c r="I39" s="2">
        <f t="shared" ref="I39:I42" si="7">H39/G39</f>
        <v>0.10535714285714286</v>
      </c>
    </row>
    <row r="40" spans="1:9" x14ac:dyDescent="0.3">
      <c r="A40" s="1" t="s">
        <v>6</v>
      </c>
      <c r="B40" s="1">
        <v>236</v>
      </c>
      <c r="C40" s="1">
        <v>79</v>
      </c>
      <c r="D40" s="2">
        <f t="shared" si="6"/>
        <v>0.3347457627118644</v>
      </c>
      <c r="F40" s="1" t="s">
        <v>6</v>
      </c>
      <c r="G40" s="1">
        <v>320</v>
      </c>
      <c r="H40" s="1">
        <v>68</v>
      </c>
      <c r="I40" s="2">
        <f t="shared" si="7"/>
        <v>0.21249999999999999</v>
      </c>
    </row>
    <row r="41" spans="1:9" x14ac:dyDescent="0.3">
      <c r="A41" s="1" t="s">
        <v>7</v>
      </c>
      <c r="B41" s="1">
        <v>44</v>
      </c>
      <c r="C41" s="1">
        <v>5</v>
      </c>
      <c r="D41" s="2">
        <f t="shared" si="6"/>
        <v>0.11363636363636363</v>
      </c>
      <c r="F41" s="1" t="s">
        <v>7</v>
      </c>
      <c r="G41" s="1">
        <v>39</v>
      </c>
      <c r="H41" s="1">
        <v>4</v>
      </c>
      <c r="I41" s="2">
        <f t="shared" si="7"/>
        <v>0.10256410256410256</v>
      </c>
    </row>
    <row r="42" spans="1:9" x14ac:dyDescent="0.3">
      <c r="A42" s="1" t="s">
        <v>10</v>
      </c>
      <c r="B42" s="1">
        <f>SUM(B38:B41)</f>
        <v>1461</v>
      </c>
      <c r="C42" s="1">
        <f>SUM(C38:C41)</f>
        <v>256</v>
      </c>
      <c r="D42" s="2">
        <f t="shared" si="6"/>
        <v>0.17522245037645448</v>
      </c>
      <c r="F42" s="1" t="s">
        <v>10</v>
      </c>
      <c r="G42" s="1">
        <f>SUM(G38:G41)</f>
        <v>1378</v>
      </c>
      <c r="H42" s="1">
        <f>SUM(H38:H41)</f>
        <v>186</v>
      </c>
      <c r="I42" s="2">
        <f t="shared" si="7"/>
        <v>0.13497822931785197</v>
      </c>
    </row>
    <row r="45" spans="1:9" x14ac:dyDescent="0.3">
      <c r="F45" s="3" t="s">
        <v>2</v>
      </c>
      <c r="G45" s="3" t="s">
        <v>21</v>
      </c>
      <c r="H45" s="6"/>
      <c r="I45" s="6"/>
    </row>
    <row r="46" spans="1:9" x14ac:dyDescent="0.3">
      <c r="F46" s="8" t="s">
        <v>0</v>
      </c>
      <c r="G46" s="9">
        <v>50000</v>
      </c>
      <c r="H46" s="6"/>
      <c r="I46" s="7"/>
    </row>
    <row r="47" spans="1:9" x14ac:dyDescent="0.3">
      <c r="F47" s="3" t="s">
        <v>1</v>
      </c>
      <c r="G47" s="5">
        <v>293200</v>
      </c>
      <c r="H47" s="3" t="s">
        <v>13</v>
      </c>
      <c r="I47" s="5">
        <f>G47/H53</f>
        <v>1511.340206185567</v>
      </c>
    </row>
    <row r="48" spans="1:9" x14ac:dyDescent="0.3">
      <c r="F48" s="4" t="s">
        <v>12</v>
      </c>
      <c r="G48" s="4" t="s">
        <v>8</v>
      </c>
      <c r="H48" s="4" t="s">
        <v>9</v>
      </c>
      <c r="I48" s="4" t="s">
        <v>11</v>
      </c>
    </row>
    <row r="49" spans="6:9" x14ac:dyDescent="0.3">
      <c r="F49" s="1" t="s">
        <v>4</v>
      </c>
      <c r="G49" s="1">
        <v>268</v>
      </c>
      <c r="H49" s="1">
        <v>58</v>
      </c>
      <c r="I49" s="2">
        <f>H49/G49</f>
        <v>0.21641791044776118</v>
      </c>
    </row>
    <row r="50" spans="6:9" x14ac:dyDescent="0.3">
      <c r="F50" s="1" t="s">
        <v>5</v>
      </c>
      <c r="G50" s="1">
        <v>251</v>
      </c>
      <c r="H50" s="1">
        <v>61</v>
      </c>
      <c r="I50" s="2">
        <f t="shared" ref="I50:I53" si="8">H50/G50</f>
        <v>0.24302788844621515</v>
      </c>
    </row>
    <row r="51" spans="6:9" x14ac:dyDescent="0.3">
      <c r="F51" s="1" t="s">
        <v>6</v>
      </c>
      <c r="G51" s="1">
        <v>264</v>
      </c>
      <c r="H51" s="1">
        <v>72</v>
      </c>
      <c r="I51" s="2">
        <f t="shared" si="8"/>
        <v>0.27272727272727271</v>
      </c>
    </row>
    <row r="52" spans="6:9" x14ac:dyDescent="0.3">
      <c r="F52" s="1" t="s">
        <v>7</v>
      </c>
      <c r="G52" s="1">
        <v>37</v>
      </c>
      <c r="H52" s="1">
        <v>3</v>
      </c>
      <c r="I52" s="2">
        <f t="shared" si="8"/>
        <v>8.1081081081081086E-2</v>
      </c>
    </row>
    <row r="53" spans="6:9" x14ac:dyDescent="0.3">
      <c r="F53" s="1" t="s">
        <v>10</v>
      </c>
      <c r="G53" s="1">
        <f>SUM(G49:G52)</f>
        <v>820</v>
      </c>
      <c r="H53" s="1">
        <f>SUM(H49:H52)</f>
        <v>194</v>
      </c>
      <c r="I53" s="2">
        <f t="shared" si="8"/>
        <v>0.23658536585365852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Guzman De Leon</dc:creator>
  <cp:lastModifiedBy>Julio Guzman De Leon</cp:lastModifiedBy>
  <dcterms:created xsi:type="dcterms:W3CDTF">2026-10-21T22:15:52Z</dcterms:created>
  <dcterms:modified xsi:type="dcterms:W3CDTF">2026-10-21T22:41:55Z</dcterms:modified>
</cp:coreProperties>
</file>